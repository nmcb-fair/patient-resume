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hangshuxin/PycharmProjects/patient-resume/template/"/>
    </mc:Choice>
  </mc:AlternateContent>
  <xr:revisionPtr revIDLastSave="0" documentId="13_ncr:1_{76BF1E01-AE70-8949-B5F4-B66472090267}" xr6:coauthVersionLast="47" xr6:coauthVersionMax="47" xr10:uidLastSave="{00000000-0000-0000-0000-000000000000}"/>
  <bookViews>
    <workbookView xWindow="-2600" yWindow="-23500" windowWidth="38400" windowHeight="23500" xr2:uid="{00000000-000D-0000-FFFF-FFFF00000000}"/>
  </bookViews>
  <sheets>
    <sheet name="Resumé" sheetId="1" r:id="rId1"/>
    <sheet name="DSQ-SF" sheetId="7" r:id="rId2"/>
    <sheet name="Medicatie" sheetId="4" r:id="rId3"/>
    <sheet name="Illness" sheetId="6" r:id="rId4"/>
    <sheet name="Laboratorium" sheetId="2" r:id="rId5"/>
    <sheet name="NASA test" sheetId="3" r:id="rId6"/>
    <sheet name="Co-morbiditeit" sheetId="5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" i="7" l="1"/>
  <c r="N10" i="7"/>
  <c r="M10" i="7"/>
  <c r="O96" i="7"/>
  <c r="H96" i="7"/>
  <c r="J96" i="7" s="1"/>
  <c r="O95" i="7"/>
  <c r="H95" i="7"/>
  <c r="J95" i="7" s="1"/>
  <c r="T94" i="7"/>
  <c r="S94" i="7"/>
  <c r="U94" i="7" s="1"/>
  <c r="O94" i="7"/>
  <c r="H94" i="7"/>
  <c r="J94" i="7" s="1"/>
  <c r="O93" i="7"/>
  <c r="H93" i="7"/>
  <c r="J93" i="7" s="1"/>
  <c r="J92" i="7"/>
  <c r="O90" i="7"/>
  <c r="H90" i="7"/>
  <c r="J90" i="7" s="1"/>
  <c r="O89" i="7"/>
  <c r="H89" i="7"/>
  <c r="J89" i="7" s="1"/>
  <c r="T88" i="7"/>
  <c r="S88" i="7"/>
  <c r="O88" i="7"/>
  <c r="H88" i="7"/>
  <c r="J88" i="7" s="1"/>
  <c r="O87" i="7"/>
  <c r="H87" i="7"/>
  <c r="J87" i="7" s="1"/>
  <c r="J86" i="7"/>
  <c r="O84" i="7"/>
  <c r="H84" i="7"/>
  <c r="J84" i="7" s="1"/>
  <c r="O83" i="7"/>
  <c r="H83" i="7"/>
  <c r="J83" i="7" s="1"/>
  <c r="T82" i="7"/>
  <c r="S82" i="7"/>
  <c r="O82" i="7"/>
  <c r="H82" i="7"/>
  <c r="J82" i="7" s="1"/>
  <c r="O81" i="7"/>
  <c r="H81" i="7"/>
  <c r="J81" i="7" s="1"/>
  <c r="J80" i="7"/>
  <c r="O78" i="7"/>
  <c r="H78" i="7"/>
  <c r="O77" i="7"/>
  <c r="H77" i="7"/>
  <c r="J77" i="7" s="1"/>
  <c r="T76" i="7"/>
  <c r="S76" i="7"/>
  <c r="U76" i="7" s="1"/>
  <c r="O76" i="7"/>
  <c r="H76" i="7"/>
  <c r="J76" i="7" s="1"/>
  <c r="O75" i="7"/>
  <c r="H75" i="7"/>
  <c r="J75" i="7" s="1"/>
  <c r="J74" i="7"/>
  <c r="O72" i="7"/>
  <c r="H72" i="7"/>
  <c r="J72" i="7" s="1"/>
  <c r="O71" i="7"/>
  <c r="H71" i="7"/>
  <c r="J71" i="7" s="1"/>
  <c r="T70" i="7"/>
  <c r="S70" i="7"/>
  <c r="O70" i="7"/>
  <c r="H70" i="7"/>
  <c r="J70" i="7" s="1"/>
  <c r="O69" i="7"/>
  <c r="H69" i="7"/>
  <c r="J69" i="7" s="1"/>
  <c r="J68" i="7"/>
  <c r="O66" i="7"/>
  <c r="H66" i="7"/>
  <c r="J66" i="7" s="1"/>
  <c r="O65" i="7"/>
  <c r="H65" i="7"/>
  <c r="J65" i="7" s="1"/>
  <c r="T64" i="7"/>
  <c r="S64" i="7"/>
  <c r="U64" i="7" s="1"/>
  <c r="O64" i="7"/>
  <c r="H64" i="7"/>
  <c r="J64" i="7" s="1"/>
  <c r="O63" i="7"/>
  <c r="H63" i="7"/>
  <c r="J63" i="7" s="1"/>
  <c r="J62" i="7"/>
  <c r="O60" i="7"/>
  <c r="H60" i="7"/>
  <c r="J60" i="7" s="1"/>
  <c r="O59" i="7"/>
  <c r="H59" i="7"/>
  <c r="J59" i="7" s="1"/>
  <c r="T58" i="7"/>
  <c r="S58" i="7"/>
  <c r="U58" i="7" s="1"/>
  <c r="Q58" i="7"/>
  <c r="O58" i="7"/>
  <c r="H58" i="7"/>
  <c r="J58" i="7" s="1"/>
  <c r="O57" i="7"/>
  <c r="O67" i="7" s="1"/>
  <c r="H57" i="7"/>
  <c r="J57" i="7" s="1"/>
  <c r="J67" i="7" s="1"/>
  <c r="J56" i="7"/>
  <c r="O54" i="7"/>
  <c r="H54" i="7"/>
  <c r="J54" i="7" s="1"/>
  <c r="O53" i="7"/>
  <c r="H53" i="7"/>
  <c r="J53" i="7" s="1"/>
  <c r="T52" i="7"/>
  <c r="S52" i="7"/>
  <c r="O52" i="7"/>
  <c r="H52" i="7"/>
  <c r="J52" i="7" s="1"/>
  <c r="O51" i="7"/>
  <c r="H51" i="7"/>
  <c r="J50" i="7"/>
  <c r="O48" i="7"/>
  <c r="H48" i="7"/>
  <c r="O47" i="7"/>
  <c r="H47" i="7"/>
  <c r="J47" i="7" s="1"/>
  <c r="T46" i="7"/>
  <c r="S46" i="7"/>
  <c r="U46" i="7" s="1"/>
  <c r="O46" i="7"/>
  <c r="H46" i="7"/>
  <c r="J46" i="7" s="1"/>
  <c r="O45" i="7"/>
  <c r="H45" i="7"/>
  <c r="J45" i="7" s="1"/>
  <c r="J44" i="7"/>
  <c r="O42" i="7"/>
  <c r="H42" i="7"/>
  <c r="J42" i="7" s="1"/>
  <c r="O41" i="7"/>
  <c r="H41" i="7"/>
  <c r="J41" i="7" s="1"/>
  <c r="T40" i="7"/>
  <c r="S40" i="7"/>
  <c r="U40" i="7" s="1"/>
  <c r="O40" i="7"/>
  <c r="H40" i="7"/>
  <c r="J40" i="7" s="1"/>
  <c r="O39" i="7"/>
  <c r="H39" i="7"/>
  <c r="J39" i="7" s="1"/>
  <c r="J38" i="7"/>
  <c r="O36" i="7"/>
  <c r="H36" i="7"/>
  <c r="J36" i="7" s="1"/>
  <c r="O35" i="7"/>
  <c r="H35" i="7"/>
  <c r="J35" i="7" s="1"/>
  <c r="T34" i="7"/>
  <c r="S34" i="7"/>
  <c r="U34" i="7" s="1"/>
  <c r="W34" i="7" s="1"/>
  <c r="O34" i="7"/>
  <c r="H34" i="7"/>
  <c r="J34" i="7" s="1"/>
  <c r="O33" i="7"/>
  <c r="H33" i="7"/>
  <c r="J33" i="7" s="1"/>
  <c r="J37" i="7" s="1"/>
  <c r="J32" i="7"/>
  <c r="O30" i="7"/>
  <c r="H30" i="7"/>
  <c r="J30" i="7" s="1"/>
  <c r="O29" i="7"/>
  <c r="H29" i="7"/>
  <c r="J29" i="7" s="1"/>
  <c r="T28" i="7"/>
  <c r="S28" i="7"/>
  <c r="O28" i="7"/>
  <c r="H28" i="7"/>
  <c r="J28" i="7" s="1"/>
  <c r="O27" i="7"/>
  <c r="H27" i="7"/>
  <c r="J27" i="7" s="1"/>
  <c r="J26" i="7"/>
  <c r="O24" i="7"/>
  <c r="H24" i="7"/>
  <c r="J24" i="7" s="1"/>
  <c r="O23" i="7"/>
  <c r="H23" i="7"/>
  <c r="J23" i="7" s="1"/>
  <c r="T22" i="7"/>
  <c r="S22" i="7"/>
  <c r="U22" i="7" s="1"/>
  <c r="O22" i="7"/>
  <c r="H22" i="7"/>
  <c r="J22" i="7" s="1"/>
  <c r="O21" i="7"/>
  <c r="H21" i="7"/>
  <c r="J21" i="7" s="1"/>
  <c r="J20" i="7"/>
  <c r="O18" i="7"/>
  <c r="H18" i="7"/>
  <c r="J18" i="7" s="1"/>
  <c r="O17" i="7"/>
  <c r="H17" i="7"/>
  <c r="J17" i="7" s="1"/>
  <c r="T16" i="7"/>
  <c r="S16" i="7"/>
  <c r="U16" i="7" s="1"/>
  <c r="O16" i="7"/>
  <c r="H16" i="7"/>
  <c r="J16" i="7" s="1"/>
  <c r="O15" i="7"/>
  <c r="H15" i="7"/>
  <c r="J14" i="7"/>
  <c r="H55" i="7" l="1"/>
  <c r="U43" i="7"/>
  <c r="O25" i="7"/>
  <c r="H25" i="7"/>
  <c r="H49" i="7"/>
  <c r="O31" i="7"/>
  <c r="U52" i="7"/>
  <c r="U70" i="7"/>
  <c r="W70" i="7" s="1"/>
  <c r="J31" i="7"/>
  <c r="U28" i="7"/>
  <c r="U25" i="7" s="1"/>
  <c r="W25" i="7" s="1"/>
  <c r="U88" i="7"/>
  <c r="U91" i="7" s="1"/>
  <c r="O37" i="7"/>
  <c r="U82" i="7"/>
  <c r="U79" i="7" s="1"/>
  <c r="O85" i="7"/>
  <c r="J25" i="7"/>
  <c r="O79" i="7"/>
  <c r="O91" i="7"/>
  <c r="H79" i="7"/>
  <c r="H19" i="7"/>
  <c r="O55" i="7"/>
  <c r="Q52" i="7" s="1"/>
  <c r="Q55" i="7" s="1"/>
  <c r="O19" i="7"/>
  <c r="J51" i="7"/>
  <c r="J55" i="7" s="1"/>
  <c r="O43" i="7"/>
  <c r="Q22" i="7"/>
  <c r="O49" i="7"/>
  <c r="H67" i="7"/>
  <c r="W16" i="7"/>
  <c r="J91" i="7"/>
  <c r="U55" i="7"/>
  <c r="W55" i="7" s="1"/>
  <c r="W11" i="7" s="1"/>
  <c r="J43" i="7"/>
  <c r="J85" i="7"/>
  <c r="H31" i="7"/>
  <c r="J78" i="7"/>
  <c r="J79" i="7" s="1"/>
  <c r="H85" i="7"/>
  <c r="J48" i="7"/>
  <c r="J49" i="7" s="1"/>
  <c r="H43" i="7"/>
  <c r="H37" i="7"/>
  <c r="H91" i="7"/>
  <c r="Q88" i="7" s="1"/>
  <c r="J15" i="7"/>
  <c r="J19" i="7" s="1"/>
  <c r="Q40" i="7" l="1"/>
  <c r="Q34" i="7"/>
  <c r="Q28" i="7"/>
  <c r="U67" i="7"/>
  <c r="U11" i="7" s="1"/>
  <c r="Q25" i="7"/>
  <c r="Q16" i="7"/>
  <c r="W8" i="7"/>
  <c r="W12" i="7" s="1"/>
  <c r="D4" i="7" s="1"/>
  <c r="Q19" i="7"/>
  <c r="U8" i="7"/>
  <c r="U12" i="7" l="1"/>
  <c r="D6" i="7" s="1"/>
  <c r="D8" i="7"/>
  <c r="Q13" i="7"/>
</calcChain>
</file>

<file path=xl/sharedStrings.xml><?xml version="1.0" encoding="utf-8"?>
<sst xmlns="http://schemas.openxmlformats.org/spreadsheetml/2006/main" count="285" uniqueCount="95">
  <si>
    <t xml:space="preserve">Resumé </t>
  </si>
  <si>
    <t>Mobiliteit</t>
  </si>
  <si>
    <t>DSQ-SF</t>
  </si>
  <si>
    <t>CCC</t>
  </si>
  <si>
    <t>CDC</t>
  </si>
  <si>
    <t>CDC +</t>
  </si>
  <si>
    <t>IOM</t>
  </si>
  <si>
    <t>Diagnose</t>
  </si>
  <si>
    <t>Laboratorium</t>
  </si>
  <si>
    <t>Medicatie</t>
  </si>
  <si>
    <t>Exclusiecriteria</t>
  </si>
  <si>
    <t>Inclusiecriteria</t>
  </si>
  <si>
    <t>Datum</t>
  </si>
  <si>
    <t>Severe illness</t>
  </si>
  <si>
    <t>Protocol</t>
  </si>
  <si>
    <t>NASA Lean test</t>
  </si>
  <si>
    <t>Handknijpkracht</t>
  </si>
  <si>
    <t>bloedafname</t>
  </si>
  <si>
    <t>Resultaat</t>
  </si>
  <si>
    <t>Opmerking</t>
  </si>
  <si>
    <t>Leefftijd</t>
  </si>
  <si>
    <t>Diagnose door arts gesteld</t>
  </si>
  <si>
    <t>Alcohol &amp;drugs</t>
  </si>
  <si>
    <t>PHQ</t>
  </si>
  <si>
    <t>Conclusie</t>
  </si>
  <si>
    <t>datum</t>
  </si>
  <si>
    <t>Beoordeeld</t>
  </si>
  <si>
    <t>Co-mobiditeit aamwezig?</t>
  </si>
  <si>
    <t>BMI&gt;40?</t>
  </si>
  <si>
    <t>Illness</t>
  </si>
  <si>
    <t>DSQ-2</t>
  </si>
  <si>
    <t>Berekening of aan criteria voor ME/CVS volgens Fukuda, CCC en IOM wordt voldaan</t>
  </si>
  <si>
    <t>Castor ID</t>
  </si>
  <si>
    <t>Deze deelnemer voldoet</t>
  </si>
  <si>
    <t>aan IOM criteria</t>
  </si>
  <si>
    <t>aan CCC criteria</t>
  </si>
  <si>
    <t>aan criteria van FUKUDA</t>
  </si>
  <si>
    <t>Fukuda and PEM</t>
  </si>
  <si>
    <t>Vragen in Castor</t>
  </si>
  <si>
    <t>Frequentie</t>
  </si>
  <si>
    <t>Ernst</t>
  </si>
  <si>
    <t>Pag 1</t>
  </si>
  <si>
    <t>Vermoeidheid/extreme uitputting</t>
  </si>
  <si>
    <t>Vul in</t>
  </si>
  <si>
    <t>Nooit</t>
  </si>
  <si>
    <t>vraag 1</t>
  </si>
  <si>
    <t>De afgelopen 6 maanden</t>
  </si>
  <si>
    <t>Soms</t>
  </si>
  <si>
    <t>Mild</t>
  </si>
  <si>
    <t>0 tot 4</t>
  </si>
  <si>
    <t>Ongeveer 1/2 vd tijd</t>
  </si>
  <si>
    <t>1 tot 4</t>
  </si>
  <si>
    <t>Matig</t>
  </si>
  <si>
    <t>Meestal</t>
  </si>
  <si>
    <t>Ernstig</t>
  </si>
  <si>
    <t>Altijd</t>
  </si>
  <si>
    <t>Zeer ernstig</t>
  </si>
  <si>
    <t>Pijn of vermoeidheid de dag na</t>
  </si>
  <si>
    <t>vraag 2</t>
  </si>
  <si>
    <t>niet inspannende dagelijkse activiteiten</t>
  </si>
  <si>
    <t>De geringste activiteit maakt u lichamelijk moe</t>
  </si>
  <si>
    <t>vraag 3</t>
  </si>
  <si>
    <t>Gevoel niet uitgerust te zijn</t>
  </si>
  <si>
    <t>vraag 4</t>
  </si>
  <si>
    <t xml:space="preserve"> ’s morgens bij het wakker worden</t>
  </si>
  <si>
    <t>Pijn in de spieren</t>
  </si>
  <si>
    <t>vraag 5</t>
  </si>
  <si>
    <t>Opgeblazen gevoel</t>
  </si>
  <si>
    <t>vraag 6</t>
  </si>
  <si>
    <t>Moeite met herinneren van dingen</t>
  </si>
  <si>
    <t>vraag 7</t>
  </si>
  <si>
    <t>Moeite om de aandacht</t>
  </si>
  <si>
    <t>vraag 8</t>
  </si>
  <si>
    <t>voor langere tijd erbij te houden</t>
  </si>
  <si>
    <t>Prikkelbare darm-klachten</t>
  </si>
  <si>
    <t>vraag 9</t>
  </si>
  <si>
    <t>(buikkrampen en problemen met ontlasting</t>
  </si>
  <si>
    <t xml:space="preserve"> winderigheid)</t>
  </si>
  <si>
    <t>(neuro-endocrien)</t>
  </si>
  <si>
    <t>Wankel bij staan, alsof u zou kunnen vallen</t>
  </si>
  <si>
    <t>vraag 10</t>
  </si>
  <si>
    <t>Pag 2</t>
  </si>
  <si>
    <t>Koude ledematen (armen, benen, handen, voeten)</t>
  </si>
  <si>
    <t>Het warm of koud krijgen zonder aanwijsbare oorzaak</t>
  </si>
  <si>
    <t>(autonoom)</t>
  </si>
  <si>
    <t>Griepachtige verschijnelen</t>
  </si>
  <si>
    <t>(immuun)</t>
  </si>
  <si>
    <t>Sommige geuren, voedsel, medicijnen of</t>
  </si>
  <si>
    <t>chemische stoffen maken u misselijk</t>
  </si>
  <si>
    <t>Som 1</t>
  </si>
  <si>
    <t>Som2</t>
  </si>
  <si>
    <t>Fuk</t>
  </si>
  <si>
    <t>Totaal</t>
  </si>
  <si>
    <t>tot</t>
  </si>
  <si>
    <t>aan criteria van CDC + PEM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</si>
</sst>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8"/>
      <color theme="1"/>
      <name val="Calibri (Hoofdtekst)"/>
    </font>
    <font>
      <b/>
      <sz val="14"/>
      <color rgb="FF0A152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74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2" borderId="2" xfId="0" applyFont="1" applyFill="1" applyBorder="1"/>
    <xf numFmtId="0" fontId="2" fillId="2" borderId="4" xfId="0" applyFont="1" applyFill="1" applyBorder="1"/>
    <xf numFmtId="0" fontId="2" fillId="2" borderId="5" xfId="0" applyFont="1" applyFill="1" applyBorder="1"/>
    <xf numFmtId="0" fontId="1" fillId="2" borderId="5" xfId="0" applyFont="1" applyFill="1" applyBorder="1"/>
    <xf numFmtId="0" fontId="1" fillId="2" borderId="6" xfId="0" applyFont="1" applyFill="1" applyBorder="1"/>
    <xf numFmtId="0" fontId="2" fillId="3" borderId="8" xfId="0" applyFont="1" applyFill="1" applyBorder="1" applyAlignment="1">
      <alignment horizontal="center" vertical="center"/>
    </xf>
    <xf numFmtId="0" fontId="2" fillId="3" borderId="7" xfId="0" applyFont="1" applyFill="1" applyBorder="1"/>
    <xf numFmtId="0" fontId="1" fillId="3" borderId="7" xfId="0" applyFont="1" applyFill="1" applyBorder="1" applyAlignment="1">
      <alignment horizontal="left"/>
    </xf>
    <xf numFmtId="0" fontId="1" fillId="3" borderId="7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left"/>
    </xf>
    <xf numFmtId="0" fontId="1" fillId="3" borderId="0" xfId="0" applyFont="1" applyFill="1" applyAlignment="1">
      <alignment horizontal="center" vertical="center"/>
    </xf>
    <xf numFmtId="0" fontId="1" fillId="3" borderId="5" xfId="0" applyFont="1" applyFill="1" applyBorder="1" applyAlignment="1">
      <alignment horizontal="left"/>
    </xf>
    <xf numFmtId="0" fontId="1" fillId="0" borderId="0" xfId="0" applyFont="1" applyAlignment="1">
      <alignment horizontal="left"/>
    </xf>
    <xf numFmtId="0" fontId="1" fillId="3" borderId="5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2" fillId="3" borderId="9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/>
    </xf>
    <xf numFmtId="0" fontId="1" fillId="3" borderId="10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3" fillId="0" borderId="0" xfId="0" applyFont="1"/>
    <xf numFmtId="0" fontId="1" fillId="2" borderId="9" xfId="0" applyFont="1" applyFill="1" applyBorder="1"/>
    <xf numFmtId="0" fontId="2" fillId="3" borderId="11" xfId="0" applyFont="1" applyFill="1" applyBorder="1" applyAlignment="1">
      <alignment horizontal="left" vertical="center"/>
    </xf>
    <xf numFmtId="0" fontId="2" fillId="3" borderId="8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left" vertical="center"/>
    </xf>
    <xf numFmtId="0" fontId="2" fillId="2" borderId="8" xfId="0" applyFont="1" applyFill="1" applyBorder="1"/>
    <xf numFmtId="0" fontId="1" fillId="2" borderId="7" xfId="0" applyFont="1" applyFill="1" applyBorder="1"/>
    <xf numFmtId="0" fontId="1" fillId="0" borderId="10" xfId="0" applyFont="1" applyBorder="1" applyAlignment="1">
      <alignment horizontal="left" vertical="center"/>
    </xf>
    <xf numFmtId="0" fontId="1" fillId="0" borderId="10" xfId="0" applyFont="1" applyBorder="1" applyAlignment="1">
      <alignment horizontal="center" vertical="center"/>
    </xf>
    <xf numFmtId="0" fontId="1" fillId="0" borderId="0" xfId="0" applyFont="1" applyAlignment="1">
      <alignment horizontal="left" wrapText="1"/>
    </xf>
    <xf numFmtId="0" fontId="1" fillId="0" borderId="7" xfId="0" applyFont="1" applyBorder="1" applyAlignment="1">
      <alignment horizontal="left"/>
    </xf>
    <xf numFmtId="0" fontId="2" fillId="0" borderId="11" xfId="0" applyFont="1" applyBorder="1" applyAlignment="1">
      <alignment horizontal="left" vertical="center"/>
    </xf>
    <xf numFmtId="0" fontId="1" fillId="0" borderId="10" xfId="0" applyFont="1" applyBorder="1" applyAlignment="1">
      <alignment horizontal="left"/>
    </xf>
    <xf numFmtId="0" fontId="2" fillId="0" borderId="12" xfId="0" applyFont="1" applyBorder="1" applyAlignment="1">
      <alignment horizontal="center" vertical="center"/>
    </xf>
    <xf numFmtId="0" fontId="4" fillId="0" borderId="0" xfId="0" applyFont="1"/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right"/>
    </xf>
    <xf numFmtId="0" fontId="1" fillId="2" borderId="3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0" xfId="0" applyFont="1" applyFill="1"/>
    <xf numFmtId="0" fontId="2" fillId="3" borderId="3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left" wrapText="1"/>
    </xf>
    <xf numFmtId="0" fontId="1" fillId="3" borderId="12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7" xfId="0" applyFont="1" applyFill="1" applyBorder="1" applyAlignment="1">
      <alignment horizontal="left" vertical="center"/>
    </xf>
    <xf numFmtId="0" fontId="2" fillId="3" borderId="5" xfId="0" applyFont="1" applyFill="1" applyBorder="1" applyAlignment="1">
      <alignment horizontal="left" vertical="center"/>
    </xf>
    <xf numFmtId="0" fontId="5" fillId="0" borderId="0" xfId="0" applyFont="1"/>
    <xf numFmtId="0" fontId="0" fillId="0" borderId="11" xfId="0" applyBorder="1"/>
    <xf numFmtId="0" fontId="5" fillId="0" borderId="11" xfId="0" applyFont="1" applyBorder="1" applyAlignment="1">
      <alignment horizontal="left" vertical="center"/>
    </xf>
    <xf numFmtId="0" fontId="5" fillId="0" borderId="10" xfId="0" applyFont="1" applyBorder="1" applyAlignment="1">
      <alignment horizontal="center" vertical="center"/>
    </xf>
    <xf numFmtId="0" fontId="5" fillId="4" borderId="9" xfId="0" applyFont="1" applyFill="1" applyBorder="1" applyAlignment="1">
      <alignment horizontal="center" vertical="center"/>
    </xf>
    <xf numFmtId="0" fontId="5" fillId="0" borderId="10" xfId="0" applyFont="1" applyBorder="1" applyAlignment="1">
      <alignment horizontal="left" vertical="center"/>
    </xf>
    <xf numFmtId="0" fontId="2" fillId="0" borderId="12" xfId="0" applyFont="1" applyBorder="1"/>
    <xf numFmtId="0" fontId="6" fillId="0" borderId="0" xfId="0" applyFont="1" applyAlignment="1">
      <alignment horizontal="center" vertical="center"/>
    </xf>
    <xf numFmtId="0" fontId="6" fillId="0" borderId="0" xfId="0" applyFont="1"/>
    <xf numFmtId="0" fontId="5" fillId="0" borderId="10" xfId="0" applyFont="1" applyBorder="1"/>
    <xf numFmtId="0" fontId="2" fillId="0" borderId="0" xfId="0" applyFont="1"/>
    <xf numFmtId="0" fontId="5" fillId="0" borderId="11" xfId="0" applyFont="1" applyBorder="1"/>
    <xf numFmtId="0" fontId="7" fillId="0" borderId="8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6" xfId="0" applyFont="1" applyBorder="1" applyAlignment="1">
      <alignment vertical="center"/>
    </xf>
    <xf numFmtId="0" fontId="7" fillId="0" borderId="4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/>
    </xf>
    <xf numFmtId="0" fontId="5" fillId="0" borderId="7" xfId="0" applyFont="1" applyBorder="1"/>
    <xf numFmtId="0" fontId="0" fillId="0" borderId="13" xfId="0" applyBorder="1" applyAlignment="1">
      <alignment horizontal="center" vertical="center"/>
    </xf>
    <xf numFmtId="0" fontId="0" fillId="0" borderId="8" xfId="0" applyBorder="1"/>
    <xf numFmtId="0" fontId="0" fillId="0" borderId="7" xfId="0" applyBorder="1"/>
    <xf numFmtId="0" fontId="4" fillId="0" borderId="13" xfId="0" applyFon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9" xfId="0" applyBorder="1" applyAlignment="1">
      <alignment horizontal="center"/>
    </xf>
    <xf numFmtId="0" fontId="4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/>
    </xf>
    <xf numFmtId="0" fontId="7" fillId="4" borderId="9" xfId="0" applyFont="1" applyFill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4" fillId="0" borderId="14" xfId="0" applyFont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0" xfId="0" applyAlignment="1">
      <alignment horizontal="center"/>
    </xf>
    <xf numFmtId="0" fontId="4" fillId="0" borderId="14" xfId="0" applyFont="1" applyBorder="1" applyAlignment="1">
      <alignment horizontal="center" vertical="center"/>
    </xf>
    <xf numFmtId="0" fontId="0" fillId="0" borderId="2" xfId="0" applyBorder="1"/>
    <xf numFmtId="0" fontId="6" fillId="0" borderId="14" xfId="0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4" fillId="0" borderId="5" xfId="0" applyFont="1" applyBorder="1"/>
    <xf numFmtId="0" fontId="4" fillId="0" borderId="15" xfId="0" applyFont="1" applyBorder="1" applyAlignment="1">
      <alignment horizontal="center" vertical="center"/>
    </xf>
    <xf numFmtId="0" fontId="0" fillId="0" borderId="4" xfId="0" applyBorder="1"/>
    <xf numFmtId="0" fontId="0" fillId="0" borderId="5" xfId="0" applyBorder="1"/>
    <xf numFmtId="0" fontId="0" fillId="0" borderId="15" xfId="0" applyBorder="1" applyAlignment="1">
      <alignment horizontal="center"/>
    </xf>
    <xf numFmtId="0" fontId="0" fillId="0" borderId="5" xfId="0" applyBorder="1" applyAlignment="1">
      <alignment horizontal="center"/>
    </xf>
    <xf numFmtId="0" fontId="6" fillId="0" borderId="15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9" fillId="0" borderId="13" xfId="0" applyFont="1" applyBorder="1"/>
    <xf numFmtId="0" fontId="5" fillId="0" borderId="14" xfId="0" applyFont="1" applyBorder="1"/>
    <xf numFmtId="0" fontId="9" fillId="0" borderId="14" xfId="0" applyFont="1" applyBorder="1"/>
    <xf numFmtId="0" fontId="5" fillId="0" borderId="14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/>
    </xf>
    <xf numFmtId="0" fontId="5" fillId="0" borderId="15" xfId="0" applyFont="1" applyBorder="1"/>
    <xf numFmtId="0" fontId="5" fillId="0" borderId="15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9" fillId="0" borderId="1" xfId="0" applyFont="1" applyBorder="1"/>
    <xf numFmtId="0" fontId="5" fillId="0" borderId="3" xfId="0" applyFont="1" applyBorder="1"/>
    <xf numFmtId="0" fontId="5" fillId="0" borderId="6" xfId="0" applyFont="1" applyBorder="1"/>
    <xf numFmtId="0" fontId="0" fillId="0" borderId="14" xfId="0" applyBorder="1" applyAlignment="1">
      <alignment horizontal="center" vertical="center"/>
    </xf>
    <xf numFmtId="0" fontId="5" fillId="0" borderId="5" xfId="0" applyFont="1" applyBorder="1"/>
    <xf numFmtId="0" fontId="5" fillId="0" borderId="8" xfId="0" applyFont="1" applyBorder="1"/>
    <xf numFmtId="0" fontId="5" fillId="0" borderId="2" xfId="0" applyFont="1" applyBorder="1"/>
    <xf numFmtId="0" fontId="5" fillId="0" borderId="4" xfId="0" applyFont="1" applyBorder="1"/>
    <xf numFmtId="0" fontId="5" fillId="0" borderId="8" xfId="0" applyFont="1" applyBorder="1" applyAlignment="1">
      <alignment horizontal="center"/>
    </xf>
    <xf numFmtId="0" fontId="5" fillId="0" borderId="13" xfId="0" applyFont="1" applyBorder="1"/>
    <xf numFmtId="0" fontId="0" fillId="0" borderId="1" xfId="0" applyBorder="1" applyAlignment="1">
      <alignment horizontal="center" vertical="center"/>
    </xf>
    <xf numFmtId="0" fontId="5" fillId="0" borderId="2" xfId="0" applyFont="1" applyBorder="1" applyAlignment="1">
      <alignment horizontal="center"/>
    </xf>
    <xf numFmtId="0" fontId="5" fillId="4" borderId="12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/>
    </xf>
    <xf numFmtId="0" fontId="5" fillId="0" borderId="6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5" fillId="0" borderId="12" xfId="0" applyFont="1" applyBorder="1"/>
    <xf numFmtId="0" fontId="7" fillId="0" borderId="8" xfId="0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13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14" xfId="0" applyFont="1" applyBorder="1" applyAlignment="1">
      <alignment horizontal="center"/>
    </xf>
    <xf numFmtId="0" fontId="7" fillId="0" borderId="1" xfId="0" applyFont="1" applyBorder="1" applyAlignment="1">
      <alignment vertical="center"/>
    </xf>
    <xf numFmtId="0" fontId="7" fillId="0" borderId="6" xfId="0" applyFont="1" applyBorder="1" applyAlignment="1">
      <alignment vertical="center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0" fillId="5" borderId="9" xfId="0" applyFill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6" xfId="0" applyBorder="1" applyAlignment="1">
      <alignment horizontal="center"/>
    </xf>
    <xf numFmtId="0" fontId="5" fillId="0" borderId="0" xfId="0" applyFont="1" applyBorder="1" applyAlignment="1">
      <alignment horizontal="left" vertical="center"/>
    </xf>
    <xf numFmtId="0" fontId="5" fillId="0" borderId="0" xfId="0" applyFont="1" applyBorder="1" applyAlignment="1">
      <alignment horizontal="center" vertical="center"/>
    </xf>
    <xf numFmtId="0" fontId="5" fillId="0" borderId="0" xfId="0" applyFont="1" applyBorder="1"/>
    <xf numFmtId="0" fontId="2" fillId="0" borderId="0" xfId="0" applyFont="1" applyBorder="1"/>
    <xf numFmtId="0" fontId="7" fillId="0" borderId="0" xfId="0" applyFont="1" applyBorder="1" applyAlignment="1">
      <alignment horizontal="center"/>
    </xf>
    <xf numFmtId="0" fontId="5" fillId="0" borderId="0" xfId="0" applyFont="1" applyFill="1" applyBorder="1"/>
    <xf numFmtId="0" fontId="1" fillId="0" borderId="12" xfId="0" applyFont="1" applyBorder="1"/>
    <xf numFmtId="0" fontId="5" fillId="0" borderId="0" xfId="0" applyFont="1" applyFill="1" applyBorder="1" applyAlignment="1">
      <alignment horizontal="center" vertical="center"/>
    </xf>
    <xf numFmtId="0" fontId="0" fillId="0" borderId="1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39"/>
  <sheetViews>
    <sheetView tabSelected="1" zoomScale="109" workbookViewId="0">
      <selection activeCell="J26" sqref="J26"/>
    </sheetView>
  </sheetViews>
  <sheetFormatPr baseColWidth="10" defaultRowHeight="16" x14ac:dyDescent="0.2"/>
  <cols>
    <col min="2" max="2" width="25.5" customWidth="1"/>
    <col min="3" max="3" width="19.33203125" customWidth="1"/>
    <col min="4" max="4" width="10.5" bestFit="1" customWidth="1"/>
    <col min="5" max="6" width="14.83203125" customWidth="1"/>
  </cols>
  <sheetData>
    <row r="1" spans="2:7" ht="17" customHeight="1" thickBot="1" x14ac:dyDescent="0.25"/>
    <row r="2" spans="2:7" ht="20" customHeight="1" thickBot="1" x14ac:dyDescent="0.3">
      <c r="B2" s="30" t="s">
        <v>0</v>
      </c>
      <c r="C2" s="25"/>
      <c r="D2" s="31"/>
      <c r="E2" s="31"/>
      <c r="F2" s="2"/>
    </row>
    <row r="3" spans="2:7" ht="19" customHeight="1" x14ac:dyDescent="0.25">
      <c r="B3" s="3" t="s">
        <v>12</v>
      </c>
      <c r="C3" s="40"/>
      <c r="D3" s="41" t="s">
        <v>20</v>
      </c>
      <c r="E3" s="41"/>
      <c r="F3" s="42"/>
    </row>
    <row r="4" spans="2:7" ht="20" customHeight="1" thickBot="1" x14ac:dyDescent="0.3">
      <c r="B4" s="4" t="s">
        <v>7</v>
      </c>
      <c r="C4" s="5"/>
      <c r="D4" s="5"/>
      <c r="E4" s="6"/>
      <c r="F4" s="7"/>
    </row>
    <row r="5" spans="2:7" ht="20" customHeight="1" thickBot="1" x14ac:dyDescent="0.3">
      <c r="B5" s="1"/>
      <c r="C5" s="1"/>
      <c r="D5" s="1"/>
      <c r="E5" s="1"/>
      <c r="F5" s="1"/>
    </row>
    <row r="6" spans="2:7" ht="24" customHeight="1" x14ac:dyDescent="0.25">
      <c r="B6" s="8"/>
      <c r="C6" s="9"/>
      <c r="D6" s="54" t="s">
        <v>18</v>
      </c>
      <c r="E6" s="52" t="s">
        <v>26</v>
      </c>
      <c r="F6" s="50" t="s">
        <v>19</v>
      </c>
    </row>
    <row r="7" spans="2:7" ht="24" customHeight="1" thickBot="1" x14ac:dyDescent="0.3">
      <c r="B7" s="23"/>
      <c r="C7" s="44"/>
      <c r="D7" s="55"/>
      <c r="E7" s="53"/>
      <c r="F7" s="51"/>
    </row>
    <row r="8" spans="2:7" ht="24" customHeight="1" thickBot="1" x14ac:dyDescent="0.3">
      <c r="B8" s="26" t="s">
        <v>11</v>
      </c>
      <c r="C8" s="19" t="s">
        <v>21</v>
      </c>
      <c r="D8" s="19"/>
      <c r="E8" s="20"/>
      <c r="F8" s="46"/>
      <c r="G8" s="24"/>
    </row>
    <row r="9" spans="2:7" ht="24" customHeight="1" thickBot="1" x14ac:dyDescent="0.3">
      <c r="B9" s="17"/>
      <c r="C9" s="12"/>
      <c r="D9" s="12"/>
      <c r="E9" s="13"/>
      <c r="F9" s="22"/>
      <c r="G9" s="24"/>
    </row>
    <row r="10" spans="2:7" ht="24" customHeight="1" x14ac:dyDescent="0.25">
      <c r="B10" s="27"/>
      <c r="C10" s="10" t="s">
        <v>3</v>
      </c>
      <c r="D10" s="10"/>
      <c r="E10" s="11"/>
      <c r="F10" s="43"/>
      <c r="G10" s="24"/>
    </row>
    <row r="11" spans="2:7" ht="24" customHeight="1" x14ac:dyDescent="0.25">
      <c r="B11" s="28" t="s">
        <v>2</v>
      </c>
      <c r="C11" s="12" t="s">
        <v>4</v>
      </c>
      <c r="D11" s="12"/>
      <c r="E11" s="13"/>
      <c r="F11" s="45"/>
      <c r="G11" s="24"/>
    </row>
    <row r="12" spans="2:7" ht="24" customHeight="1" x14ac:dyDescent="0.25">
      <c r="B12" s="28"/>
      <c r="C12" s="12" t="s">
        <v>5</v>
      </c>
      <c r="D12" s="12"/>
      <c r="E12" s="13"/>
      <c r="F12" s="45"/>
      <c r="G12" s="24"/>
    </row>
    <row r="13" spans="2:7" ht="24" customHeight="1" thickBot="1" x14ac:dyDescent="0.3">
      <c r="B13" s="29"/>
      <c r="C13" s="14" t="s">
        <v>6</v>
      </c>
      <c r="D13" s="14"/>
      <c r="E13" s="16"/>
      <c r="F13" s="47"/>
      <c r="G13" s="24"/>
    </row>
    <row r="14" spans="2:7" ht="24" customHeight="1" thickBot="1" x14ac:dyDescent="0.3">
      <c r="B14" s="17"/>
      <c r="C14" s="12"/>
      <c r="D14" s="12"/>
      <c r="E14" s="13"/>
      <c r="F14" s="22"/>
      <c r="G14" s="24"/>
    </row>
    <row r="15" spans="2:7" ht="24" customHeight="1" x14ac:dyDescent="0.25">
      <c r="B15" s="27"/>
      <c r="C15" s="35" t="s">
        <v>28</v>
      </c>
      <c r="D15" s="35"/>
      <c r="E15" s="11"/>
      <c r="F15" s="43"/>
      <c r="G15" s="24"/>
    </row>
    <row r="16" spans="2:7" ht="24" customHeight="1" x14ac:dyDescent="0.25">
      <c r="B16" s="28" t="s">
        <v>10</v>
      </c>
      <c r="C16" s="12" t="s">
        <v>1</v>
      </c>
      <c r="D16" s="12"/>
      <c r="E16" s="13"/>
      <c r="F16" s="45"/>
      <c r="G16" s="24"/>
    </row>
    <row r="17" spans="2:7" ht="24" customHeight="1" x14ac:dyDescent="0.25">
      <c r="B17" s="28"/>
      <c r="C17" s="12" t="s">
        <v>23</v>
      </c>
      <c r="D17" s="12"/>
      <c r="E17" s="13"/>
      <c r="F17" s="45"/>
      <c r="G17" s="24"/>
    </row>
    <row r="18" spans="2:7" ht="24" customHeight="1" x14ac:dyDescent="0.25">
      <c r="B18" s="28"/>
      <c r="C18" s="12" t="s">
        <v>22</v>
      </c>
      <c r="D18" s="12"/>
      <c r="E18" s="13"/>
      <c r="F18" s="45"/>
      <c r="G18" s="24"/>
    </row>
    <row r="19" spans="2:7" ht="24" customHeight="1" x14ac:dyDescent="0.25">
      <c r="B19" s="28"/>
      <c r="C19" s="12" t="s">
        <v>9</v>
      </c>
      <c r="D19" s="12"/>
      <c r="E19" s="13"/>
      <c r="F19" s="45"/>
      <c r="G19" s="24"/>
    </row>
    <row r="20" spans="2:7" ht="24" customHeight="1" thickBot="1" x14ac:dyDescent="0.3">
      <c r="B20" s="29"/>
      <c r="C20" s="14" t="s">
        <v>13</v>
      </c>
      <c r="D20" s="14"/>
      <c r="E20" s="16"/>
      <c r="F20" s="47"/>
      <c r="G20" s="24"/>
    </row>
    <row r="21" spans="2:7" ht="24" customHeight="1" x14ac:dyDescent="0.25">
      <c r="B21" s="17"/>
      <c r="C21" s="12"/>
      <c r="D21" s="12"/>
      <c r="E21" s="13"/>
      <c r="F21" s="22"/>
      <c r="G21" s="24"/>
    </row>
    <row r="22" spans="2:7" ht="24" customHeight="1" thickBot="1" x14ac:dyDescent="0.3">
      <c r="B22" s="17"/>
      <c r="C22" s="12"/>
      <c r="D22" s="12"/>
      <c r="E22" s="13"/>
      <c r="F22" s="22"/>
      <c r="G22" s="24"/>
    </row>
    <row r="23" spans="2:7" ht="24" customHeight="1" thickBot="1" x14ac:dyDescent="0.3">
      <c r="B23" s="36" t="s">
        <v>27</v>
      </c>
      <c r="C23" s="37"/>
      <c r="D23" s="37"/>
      <c r="E23" s="33"/>
      <c r="F23" s="38"/>
      <c r="G23" s="24"/>
    </row>
    <row r="24" spans="2:7" ht="24" customHeight="1" thickBot="1" x14ac:dyDescent="0.3">
      <c r="B24" s="17"/>
      <c r="C24" s="12"/>
      <c r="D24" s="12"/>
      <c r="E24" s="13"/>
      <c r="F24" s="22"/>
      <c r="G24" s="24"/>
    </row>
    <row r="25" spans="2:7" ht="24" customHeight="1" thickBot="1" x14ac:dyDescent="0.3">
      <c r="B25" s="26" t="s">
        <v>14</v>
      </c>
      <c r="C25" s="19" t="s">
        <v>15</v>
      </c>
      <c r="D25" s="48"/>
      <c r="E25" s="20"/>
      <c r="F25" s="49"/>
      <c r="G25" s="24"/>
    </row>
    <row r="26" spans="2:7" ht="24" customHeight="1" thickBot="1" x14ac:dyDescent="0.3">
      <c r="B26" s="29"/>
      <c r="C26" s="14" t="s">
        <v>16</v>
      </c>
      <c r="D26" s="14"/>
      <c r="E26" s="16"/>
      <c r="F26" s="49"/>
      <c r="G26" s="24"/>
    </row>
    <row r="27" spans="2:7" ht="20" thickBot="1" x14ac:dyDescent="0.3">
      <c r="B27" s="17"/>
      <c r="C27" s="34"/>
      <c r="D27" s="12"/>
      <c r="E27" s="13"/>
      <c r="F27" s="13"/>
      <c r="G27" s="24"/>
    </row>
    <row r="28" spans="2:7" ht="24" customHeight="1" thickBot="1" x14ac:dyDescent="0.25">
      <c r="B28" s="26" t="s">
        <v>8</v>
      </c>
      <c r="C28" s="21" t="s">
        <v>17</v>
      </c>
      <c r="D28" s="21"/>
      <c r="E28" s="20"/>
      <c r="F28" s="49"/>
      <c r="G28" s="24"/>
    </row>
    <row r="29" spans="2:7" ht="24" customHeight="1" thickBot="1" x14ac:dyDescent="0.3">
      <c r="B29" s="17"/>
      <c r="C29" s="12"/>
      <c r="D29" s="12"/>
      <c r="E29" s="13"/>
      <c r="F29" s="13"/>
      <c r="G29" s="24"/>
    </row>
    <row r="30" spans="2:7" ht="24" customHeight="1" thickBot="1" x14ac:dyDescent="0.3">
      <c r="B30" s="26" t="s">
        <v>30</v>
      </c>
      <c r="C30" s="19"/>
      <c r="D30" s="19"/>
      <c r="E30" s="33"/>
      <c r="F30" s="49"/>
      <c r="G30" s="24"/>
    </row>
    <row r="31" spans="2:7" ht="24" customHeight="1" thickBot="1" x14ac:dyDescent="0.3">
      <c r="B31" s="17"/>
      <c r="C31" s="12"/>
      <c r="D31" s="12"/>
      <c r="E31" s="13"/>
      <c r="F31" s="13"/>
    </row>
    <row r="32" spans="2:7" ht="24" customHeight="1" thickBot="1" x14ac:dyDescent="0.25">
      <c r="B32" s="18" t="s">
        <v>24</v>
      </c>
      <c r="C32" s="21" t="s">
        <v>7</v>
      </c>
      <c r="D32" s="32"/>
      <c r="E32" s="20" t="s">
        <v>25</v>
      </c>
      <c r="F32" s="49"/>
    </row>
    <row r="33" spans="2:6" ht="24" customHeight="1" x14ac:dyDescent="0.25">
      <c r="B33" s="12"/>
      <c r="C33" s="15"/>
      <c r="D33" s="15"/>
      <c r="E33" s="1"/>
      <c r="F33" s="1"/>
    </row>
    <row r="34" spans="2:6" ht="24" customHeight="1" x14ac:dyDescent="0.25">
      <c r="B34" s="15"/>
      <c r="C34" s="15"/>
      <c r="D34" s="15"/>
      <c r="E34" s="1"/>
      <c r="F34" s="1"/>
    </row>
    <row r="35" spans="2:6" ht="19" customHeight="1" x14ac:dyDescent="0.25">
      <c r="B35" s="15"/>
      <c r="C35" s="15"/>
      <c r="D35" s="15"/>
      <c r="E35" s="1"/>
      <c r="F35" s="1"/>
    </row>
    <row r="36" spans="2:6" ht="19" customHeight="1" x14ac:dyDescent="0.25">
      <c r="B36" s="15"/>
      <c r="C36" s="15"/>
      <c r="D36" s="15"/>
      <c r="E36" s="1"/>
      <c r="F36" s="1"/>
    </row>
    <row r="37" spans="2:6" ht="19" customHeight="1" x14ac:dyDescent="0.25">
      <c r="B37" s="1"/>
      <c r="C37" s="1"/>
      <c r="D37" s="1"/>
      <c r="E37" s="1"/>
      <c r="F37" s="1"/>
    </row>
    <row r="38" spans="2:6" ht="19" customHeight="1" x14ac:dyDescent="0.25">
      <c r="B38" s="1"/>
      <c r="C38" s="1"/>
      <c r="D38" s="1"/>
      <c r="E38" s="1"/>
      <c r="F38" s="1"/>
    </row>
    <row r="39" spans="2:6" ht="19" customHeight="1" x14ac:dyDescent="0.25">
      <c r="B39" s="1"/>
      <c r="C39" s="1"/>
      <c r="D39" s="1"/>
      <c r="E39" s="1"/>
      <c r="F39" s="1"/>
    </row>
  </sheetData>
  <mergeCells count="3">
    <mergeCell ref="F6:F7"/>
    <mergeCell ref="E6:E7"/>
    <mergeCell ref="D6:D7"/>
  </mergeCells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2D587-53BE-D04B-B231-58366CC88534}">
  <dimension ref="A1:Z96"/>
  <sheetViews>
    <sheetView topLeftCell="A58" workbookViewId="0">
      <selection activeCell="M15" sqref="M15"/>
    </sheetView>
  </sheetViews>
  <sheetFormatPr baseColWidth="10" defaultRowHeight="16" x14ac:dyDescent="0.2"/>
  <cols>
    <col min="1" max="1" width="8.33203125" customWidth="1"/>
    <col min="2" max="2" width="12.6640625" customWidth="1"/>
    <col min="3" max="3" width="62.83203125" customWidth="1"/>
    <col min="4" max="4" width="9.83203125" customWidth="1"/>
    <col min="5" max="5" width="32.5" bestFit="1" customWidth="1"/>
    <col min="6" max="6" width="4.33203125" customWidth="1"/>
    <col min="8" max="8" width="10.1640625" hidden="1" customWidth="1"/>
    <col min="9" max="11" width="6.83203125" hidden="1" customWidth="1"/>
    <col min="15" max="15" width="6.83203125" customWidth="1"/>
    <col min="16" max="18" width="6.83203125" hidden="1" customWidth="1"/>
    <col min="19" max="19" width="9.83203125" hidden="1" customWidth="1"/>
    <col min="20" max="24" width="6.83203125" hidden="1" customWidth="1"/>
    <col min="25" max="26" width="6.83203125" customWidth="1"/>
  </cols>
  <sheetData>
    <row r="1" spans="1:26" ht="22" thickBot="1" x14ac:dyDescent="0.3">
      <c r="A1" s="39"/>
      <c r="B1" s="56" t="s">
        <v>31</v>
      </c>
      <c r="M1" s="57" t="s">
        <v>32</v>
      </c>
      <c r="N1" s="171">
        <v>1000893</v>
      </c>
    </row>
    <row r="2" spans="1:26" x14ac:dyDescent="0.2">
      <c r="A2" s="39"/>
    </row>
    <row r="3" spans="1:26" ht="17" thickBot="1" x14ac:dyDescent="0.25">
      <c r="A3" s="39"/>
    </row>
    <row r="4" spans="1:26" ht="22" thickBot="1" x14ac:dyDescent="0.3">
      <c r="A4" s="39"/>
      <c r="B4" s="58" t="s">
        <v>33</v>
      </c>
      <c r="C4" s="59"/>
      <c r="D4" s="60" t="str">
        <f>IF(W12=2,"WEL","NIET")</f>
        <v>NIET</v>
      </c>
      <c r="E4" s="61" t="s">
        <v>34</v>
      </c>
      <c r="F4" s="59"/>
      <c r="G4" s="62"/>
    </row>
    <row r="5" spans="1:26" ht="17" thickBot="1" x14ac:dyDescent="0.25">
      <c r="A5" s="39"/>
    </row>
    <row r="6" spans="1:26" ht="30" customHeight="1" thickBot="1" x14ac:dyDescent="0.3">
      <c r="B6" s="58" t="s">
        <v>33</v>
      </c>
      <c r="C6" s="59"/>
      <c r="D6" s="60" t="str">
        <f>IF(U12=2,"WEL","NIET")</f>
        <v>NIET</v>
      </c>
      <c r="E6" s="61" t="s">
        <v>35</v>
      </c>
      <c r="F6" s="59"/>
      <c r="G6" s="62"/>
    </row>
    <row r="7" spans="1:26" ht="22" thickBot="1" x14ac:dyDescent="0.3">
      <c r="B7" s="63"/>
      <c r="C7" s="63"/>
      <c r="D7" s="63"/>
      <c r="E7" s="63"/>
      <c r="F7" s="64"/>
    </row>
    <row r="8" spans="1:26" ht="30" customHeight="1" thickBot="1" x14ac:dyDescent="0.35">
      <c r="B8" s="58" t="s">
        <v>33</v>
      </c>
      <c r="C8" s="59"/>
      <c r="D8" s="60" t="str">
        <f>IF(Q19+Q16&gt;1,"WEL","NIET")</f>
        <v>WEL</v>
      </c>
      <c r="E8" s="61" t="s">
        <v>36</v>
      </c>
      <c r="F8" s="65"/>
      <c r="G8" s="62"/>
      <c r="H8" s="66"/>
      <c r="P8" s="66"/>
      <c r="Q8" s="66"/>
      <c r="R8" s="66"/>
      <c r="S8" s="143" t="s">
        <v>89</v>
      </c>
      <c r="T8" s="144"/>
      <c r="U8" s="145">
        <f>IF(U16+U25+U34+U55&gt;3,1,0)</f>
        <v>0</v>
      </c>
      <c r="V8" s="146"/>
      <c r="W8" s="147">
        <f>IF(W16+W25+W34&gt;0,1,0)</f>
        <v>0</v>
      </c>
      <c r="X8" s="66"/>
      <c r="Y8" s="66"/>
      <c r="Z8" s="66"/>
    </row>
    <row r="9" spans="1:26" ht="30" customHeight="1" thickBot="1" x14ac:dyDescent="0.35">
      <c r="B9" s="165"/>
      <c r="C9" s="166"/>
      <c r="D9" s="172"/>
      <c r="E9" s="165"/>
      <c r="F9" s="167"/>
      <c r="G9" s="168"/>
      <c r="H9" s="66"/>
      <c r="I9" s="167"/>
      <c r="J9" s="167"/>
      <c r="K9" s="167"/>
      <c r="L9" s="170"/>
      <c r="M9" s="167"/>
      <c r="N9" s="167"/>
      <c r="O9" s="167"/>
      <c r="P9" s="66"/>
      <c r="Q9" s="66"/>
      <c r="R9" s="66"/>
      <c r="S9" s="148"/>
      <c r="T9" s="169"/>
      <c r="U9" s="149"/>
      <c r="V9" s="146"/>
      <c r="W9" s="150"/>
      <c r="X9" s="66"/>
      <c r="Y9" s="66"/>
      <c r="Z9" s="66"/>
    </row>
    <row r="10" spans="1:26" ht="30" customHeight="1" thickBot="1" x14ac:dyDescent="0.35">
      <c r="B10" s="67" t="s">
        <v>37</v>
      </c>
      <c r="C10" s="65"/>
      <c r="D10" s="60" t="str">
        <f>IF(M10+N10=2,"WEL","NIET")</f>
        <v>WEL</v>
      </c>
      <c r="E10" s="65" t="s">
        <v>94</v>
      </c>
      <c r="F10" s="65"/>
      <c r="G10" s="142"/>
      <c r="I10" s="167"/>
      <c r="J10" s="167"/>
      <c r="K10" s="167"/>
      <c r="L10" s="170"/>
      <c r="M10" s="173">
        <f>(IF(D8="WEL",1,0))</f>
        <v>1</v>
      </c>
      <c r="N10" s="171">
        <f>IF(Q25=1,1,0)</f>
        <v>1</v>
      </c>
      <c r="O10" s="167"/>
      <c r="P10" s="66"/>
      <c r="Q10" s="66"/>
      <c r="R10" s="66"/>
      <c r="S10" s="148"/>
      <c r="T10" s="169"/>
      <c r="U10" s="149"/>
      <c r="V10" s="146"/>
      <c r="W10" s="150"/>
      <c r="X10" s="66"/>
      <c r="Y10" s="66"/>
      <c r="Z10" s="66"/>
    </row>
    <row r="11" spans="1:26" ht="25" thickBot="1" x14ac:dyDescent="0.35">
      <c r="S11" s="148" t="s">
        <v>90</v>
      </c>
      <c r="T11" s="146"/>
      <c r="U11" s="149">
        <f>IF(U43+U67+U79+U91&gt;0,1,0)</f>
        <v>0</v>
      </c>
      <c r="V11" s="146"/>
      <c r="W11" s="150">
        <f>IF(W55+W70&gt;0,1,0)</f>
        <v>0</v>
      </c>
    </row>
    <row r="12" spans="1:26" ht="25" customHeight="1" x14ac:dyDescent="0.3">
      <c r="B12" s="68" t="s">
        <v>38</v>
      </c>
      <c r="C12" s="69"/>
      <c r="D12" s="70"/>
      <c r="E12" s="71" t="s">
        <v>39</v>
      </c>
      <c r="F12" s="72"/>
      <c r="G12" s="73"/>
      <c r="H12" s="74"/>
      <c r="M12" s="68" t="s">
        <v>40</v>
      </c>
      <c r="N12" s="69"/>
      <c r="O12" s="151"/>
      <c r="Q12" t="s">
        <v>91</v>
      </c>
      <c r="S12" s="148" t="s">
        <v>92</v>
      </c>
      <c r="T12" s="146"/>
      <c r="U12" s="149">
        <f>U8+U11</f>
        <v>0</v>
      </c>
      <c r="V12" s="146"/>
      <c r="W12" s="150">
        <f>W8+W11</f>
        <v>0</v>
      </c>
    </row>
    <row r="13" spans="1:26" ht="25" thickBot="1" x14ac:dyDescent="0.25">
      <c r="B13" s="75"/>
      <c r="C13" s="76"/>
      <c r="D13" s="77"/>
      <c r="E13" s="78"/>
      <c r="F13" s="79"/>
      <c r="G13" s="80"/>
      <c r="H13" s="81"/>
      <c r="M13" s="82"/>
      <c r="N13" s="83"/>
      <c r="O13" s="152"/>
      <c r="P13" s="153"/>
      <c r="Q13" s="153" t="str">
        <f>IF(Q16+Q19&gt;1,"pos","neg")</f>
        <v>pos</v>
      </c>
      <c r="R13" s="153"/>
      <c r="S13" s="154"/>
      <c r="T13" s="155"/>
      <c r="U13" s="156"/>
      <c r="V13" s="153"/>
      <c r="W13" s="157"/>
      <c r="X13" s="153"/>
      <c r="Y13" s="153"/>
      <c r="Z13" s="153"/>
    </row>
    <row r="14" spans="1:26" ht="22" thickBot="1" x14ac:dyDescent="0.3">
      <c r="A14" s="39"/>
      <c r="B14" s="84" t="s">
        <v>41</v>
      </c>
      <c r="C14" s="85" t="s">
        <v>42</v>
      </c>
      <c r="D14" s="86" t="s">
        <v>43</v>
      </c>
      <c r="E14" s="87" t="s">
        <v>44</v>
      </c>
      <c r="F14" s="88"/>
      <c r="G14" s="89">
        <v>0</v>
      </c>
      <c r="H14" s="90"/>
      <c r="I14" s="91"/>
      <c r="J14" s="91">
        <f>G14*H14</f>
        <v>0</v>
      </c>
      <c r="K14" s="91"/>
      <c r="L14" s="92" t="s">
        <v>43</v>
      </c>
      <c r="M14" s="87"/>
      <c r="N14" s="93"/>
      <c r="O14" s="141"/>
      <c r="P14" s="99"/>
      <c r="Q14" s="158"/>
      <c r="R14" s="99"/>
      <c r="S14" s="159"/>
      <c r="T14" s="159"/>
      <c r="U14" s="159"/>
      <c r="V14" s="99"/>
      <c r="W14" s="160"/>
      <c r="X14" s="160"/>
      <c r="Y14" s="99"/>
      <c r="Z14" s="99"/>
    </row>
    <row r="15" spans="1:26" ht="30" customHeight="1" thickBot="1" x14ac:dyDescent="0.3">
      <c r="B15" s="94" t="s">
        <v>45</v>
      </c>
      <c r="C15" s="56" t="s">
        <v>46</v>
      </c>
      <c r="D15" s="95">
        <v>1</v>
      </c>
      <c r="E15" s="96" t="s">
        <v>47</v>
      </c>
      <c r="G15" s="97">
        <v>1</v>
      </c>
      <c r="H15" s="98">
        <f>IF(D15=1,1,0)</f>
        <v>1</v>
      </c>
      <c r="I15" s="99"/>
      <c r="J15" s="99">
        <f t="shared" ref="J15:J90" si="0">G15*H15</f>
        <v>1</v>
      </c>
      <c r="K15" s="99"/>
      <c r="L15" s="95">
        <v>1</v>
      </c>
      <c r="M15" s="96" t="s">
        <v>48</v>
      </c>
      <c r="N15" s="100">
        <v>1</v>
      </c>
      <c r="O15" s="98">
        <f>IF(L15=1,1,0)</f>
        <v>1</v>
      </c>
      <c r="P15" s="99"/>
      <c r="Q15" s="158"/>
      <c r="R15" s="99"/>
      <c r="S15" s="159"/>
      <c r="T15" s="159"/>
      <c r="U15" s="159"/>
      <c r="V15" s="99"/>
      <c r="W15" s="160"/>
      <c r="X15" s="160"/>
      <c r="Y15" s="99"/>
      <c r="Z15" s="99"/>
    </row>
    <row r="16" spans="1:26" ht="17" thickBot="1" x14ac:dyDescent="0.25">
      <c r="B16" s="97"/>
      <c r="C16" s="39"/>
      <c r="D16" s="100" t="s">
        <v>49</v>
      </c>
      <c r="E16" t="s">
        <v>50</v>
      </c>
      <c r="G16" s="97">
        <v>2</v>
      </c>
      <c r="H16" s="98">
        <f>IF(D15=2,1,0)</f>
        <v>0</v>
      </c>
      <c r="I16" s="99"/>
      <c r="J16" s="99">
        <f t="shared" si="0"/>
        <v>0</v>
      </c>
      <c r="K16" s="99"/>
      <c r="L16" s="98" t="s">
        <v>51</v>
      </c>
      <c r="M16" s="101" t="s">
        <v>52</v>
      </c>
      <c r="N16" s="100">
        <v>2</v>
      </c>
      <c r="O16" s="98">
        <f>IF(L15=2,1,0)</f>
        <v>0</v>
      </c>
      <c r="P16" s="99"/>
      <c r="Q16" s="161">
        <f>IF(H19+O19&gt;1,1,0)</f>
        <v>1</v>
      </c>
      <c r="R16" s="99"/>
      <c r="S16" s="159">
        <f>IF(D15&gt;1,1,0)</f>
        <v>0</v>
      </c>
      <c r="T16" s="159">
        <f>IF(L15&gt;1,1,0)</f>
        <v>0</v>
      </c>
      <c r="U16" s="161">
        <f>IF(S16+T16=2,1,0)</f>
        <v>0</v>
      </c>
      <c r="V16" s="99"/>
      <c r="W16" s="160">
        <f>U16</f>
        <v>0</v>
      </c>
      <c r="X16" s="160"/>
      <c r="Y16" s="99"/>
      <c r="Z16" s="99"/>
    </row>
    <row r="17" spans="2:26" ht="21" x14ac:dyDescent="0.25">
      <c r="B17" s="97"/>
      <c r="C17" s="39"/>
      <c r="D17" s="100"/>
      <c r="E17" s="101" t="s">
        <v>53</v>
      </c>
      <c r="G17" s="97">
        <v>3</v>
      </c>
      <c r="H17" s="98">
        <f>IF(D15=3,1,0)</f>
        <v>0</v>
      </c>
      <c r="I17" s="99"/>
      <c r="J17" s="99">
        <f t="shared" si="0"/>
        <v>0</v>
      </c>
      <c r="K17" s="99"/>
      <c r="L17" s="102"/>
      <c r="M17" s="101" t="s">
        <v>54</v>
      </c>
      <c r="N17" s="100">
        <v>3</v>
      </c>
      <c r="O17" s="98">
        <f>IF(L15=3,1,0)</f>
        <v>0</v>
      </c>
      <c r="P17" s="99"/>
      <c r="Q17" s="158"/>
      <c r="R17" s="99"/>
      <c r="S17" s="159"/>
      <c r="T17" s="159"/>
      <c r="U17" s="159"/>
      <c r="V17" s="99"/>
      <c r="W17" s="160"/>
      <c r="X17" s="160"/>
      <c r="Y17" s="99"/>
      <c r="Z17" s="99"/>
    </row>
    <row r="18" spans="2:26" ht="22" thickBot="1" x14ac:dyDescent="0.3">
      <c r="B18" s="103"/>
      <c r="C18" s="104"/>
      <c r="D18" s="105"/>
      <c r="E18" s="106" t="s">
        <v>55</v>
      </c>
      <c r="F18" s="107"/>
      <c r="G18" s="103">
        <v>4</v>
      </c>
      <c r="H18" s="108">
        <f>IF(D15=4,1,0)</f>
        <v>0</v>
      </c>
      <c r="I18" s="109"/>
      <c r="J18" s="109">
        <f t="shared" si="0"/>
        <v>0</v>
      </c>
      <c r="K18" s="109"/>
      <c r="L18" s="110"/>
      <c r="M18" s="106" t="s">
        <v>56</v>
      </c>
      <c r="N18" s="105">
        <v>4</v>
      </c>
      <c r="O18" s="108">
        <f>IF(L15=4,1,0)</f>
        <v>0</v>
      </c>
      <c r="P18" s="99"/>
      <c r="Q18" s="158"/>
      <c r="R18" s="99"/>
      <c r="S18" s="159"/>
      <c r="T18" s="159"/>
      <c r="U18" s="159"/>
      <c r="V18" s="99"/>
      <c r="W18" s="160"/>
      <c r="X18" s="160"/>
      <c r="Y18" s="99"/>
      <c r="Z18" s="99"/>
    </row>
    <row r="19" spans="2:26" ht="22" thickBot="1" x14ac:dyDescent="0.3">
      <c r="B19" s="111"/>
      <c r="C19" s="39"/>
      <c r="D19" s="112"/>
      <c r="G19" s="111"/>
      <c r="H19" s="99">
        <f>SUM(H15:H18)</f>
        <v>1</v>
      </c>
      <c r="I19" s="99"/>
      <c r="J19" s="99">
        <f>SUM(J15:J18)</f>
        <v>1</v>
      </c>
      <c r="K19" s="99"/>
      <c r="L19" s="113"/>
      <c r="N19" s="112"/>
      <c r="O19" s="162">
        <f>SUM(O15:O18)</f>
        <v>1</v>
      </c>
      <c r="P19" s="163" t="s">
        <v>93</v>
      </c>
      <c r="Q19" s="162">
        <f>IF(Q25+Q34+Q40+Q55+Q88&gt;3,1,0)</f>
        <v>1</v>
      </c>
      <c r="R19" s="99"/>
      <c r="S19" s="99"/>
      <c r="T19" s="99"/>
      <c r="U19" s="99"/>
      <c r="V19" s="99"/>
      <c r="W19" s="99"/>
      <c r="X19" s="99"/>
      <c r="Y19" s="99"/>
      <c r="Z19" s="99"/>
    </row>
    <row r="20" spans="2:26" ht="22" thickBot="1" x14ac:dyDescent="0.3">
      <c r="B20" s="84" t="s">
        <v>41</v>
      </c>
      <c r="C20" s="114" t="s">
        <v>57</v>
      </c>
      <c r="D20" s="86" t="s">
        <v>43</v>
      </c>
      <c r="E20" s="88" t="s">
        <v>44</v>
      </c>
      <c r="F20" s="88"/>
      <c r="G20" s="89">
        <v>0</v>
      </c>
      <c r="H20" s="91"/>
      <c r="I20" s="91"/>
      <c r="J20" s="91">
        <f t="shared" si="0"/>
        <v>0</v>
      </c>
      <c r="K20" s="91"/>
      <c r="L20" s="86">
        <v>1</v>
      </c>
      <c r="M20" s="88"/>
      <c r="N20" s="93"/>
      <c r="O20" s="141"/>
      <c r="P20" s="99"/>
      <c r="Q20" s="158"/>
      <c r="R20" s="99"/>
      <c r="S20" s="159"/>
      <c r="T20" s="159"/>
      <c r="U20" s="159"/>
      <c r="V20" s="99"/>
      <c r="W20" s="160"/>
      <c r="X20" s="160"/>
      <c r="Y20" s="99"/>
      <c r="Z20" s="99"/>
    </row>
    <row r="21" spans="2:26" ht="30" customHeight="1" thickBot="1" x14ac:dyDescent="0.3">
      <c r="B21" s="94" t="s">
        <v>58</v>
      </c>
      <c r="C21" s="115" t="s">
        <v>59</v>
      </c>
      <c r="D21" s="60">
        <v>1</v>
      </c>
      <c r="E21" t="s">
        <v>47</v>
      </c>
      <c r="G21" s="97">
        <v>1</v>
      </c>
      <c r="H21" s="99">
        <f>IF(D21=1,1,0)</f>
        <v>1</v>
      </c>
      <c r="I21" s="99"/>
      <c r="J21" s="99">
        <f t="shared" si="0"/>
        <v>1</v>
      </c>
      <c r="K21" s="99"/>
      <c r="L21" s="60">
        <v>1</v>
      </c>
      <c r="M21" t="s">
        <v>48</v>
      </c>
      <c r="N21" s="100">
        <v>1</v>
      </c>
      <c r="O21" s="141">
        <f>IF(L21=1,1,0)</f>
        <v>1</v>
      </c>
      <c r="P21" s="99"/>
      <c r="Q21" s="158"/>
      <c r="R21" s="99"/>
      <c r="S21" s="159"/>
      <c r="T21" s="159"/>
      <c r="U21" s="159"/>
      <c r="V21" s="99"/>
      <c r="W21" s="160"/>
      <c r="X21" s="160"/>
      <c r="Y21" s="99"/>
      <c r="Z21" s="99"/>
    </row>
    <row r="22" spans="2:26" ht="22" thickBot="1" x14ac:dyDescent="0.3">
      <c r="B22" s="94"/>
      <c r="C22" s="116"/>
      <c r="D22" s="100" t="s">
        <v>49</v>
      </c>
      <c r="E22" t="s">
        <v>50</v>
      </c>
      <c r="G22" s="97">
        <v>2</v>
      </c>
      <c r="H22" s="99">
        <f>IF(D21=2,1,0)</f>
        <v>0</v>
      </c>
      <c r="I22" s="99"/>
      <c r="J22" s="99">
        <f t="shared" si="0"/>
        <v>0</v>
      </c>
      <c r="K22" s="99"/>
      <c r="L22" s="98" t="s">
        <v>51</v>
      </c>
      <c r="M22" t="s">
        <v>52</v>
      </c>
      <c r="N22" s="100">
        <v>2</v>
      </c>
      <c r="O22" s="141">
        <f>IF(L21=2,1,0)</f>
        <v>0</v>
      </c>
      <c r="P22" s="99"/>
      <c r="Q22" s="92">
        <f>IF(H25+O25&gt;1,1,0)</f>
        <v>1</v>
      </c>
      <c r="R22" s="99"/>
      <c r="S22" s="159">
        <f>IF(D21&gt;1,1,0)</f>
        <v>0</v>
      </c>
      <c r="T22" s="159">
        <f>IF(L21&gt;1,1,0)</f>
        <v>0</v>
      </c>
      <c r="U22" s="159">
        <f>IF(S22+T22=2,1,0)</f>
        <v>0</v>
      </c>
      <c r="V22" s="99"/>
      <c r="W22" s="160"/>
      <c r="X22" s="160"/>
      <c r="Y22" s="99"/>
      <c r="Z22" s="99"/>
    </row>
    <row r="23" spans="2:26" ht="21" x14ac:dyDescent="0.25">
      <c r="B23" s="94"/>
      <c r="C23" s="115"/>
      <c r="D23" s="117"/>
      <c r="E23" t="s">
        <v>53</v>
      </c>
      <c r="G23" s="97">
        <v>3</v>
      </c>
      <c r="H23" s="99">
        <f>IF(D21=3,1,0)</f>
        <v>0</v>
      </c>
      <c r="I23" s="99"/>
      <c r="J23" s="99">
        <f t="shared" si="0"/>
        <v>0</v>
      </c>
      <c r="K23" s="99"/>
      <c r="L23" s="102"/>
      <c r="M23" t="s">
        <v>54</v>
      </c>
      <c r="N23" s="100">
        <v>3</v>
      </c>
      <c r="O23" s="141">
        <f>IF(L21=3,1,0)</f>
        <v>0</v>
      </c>
      <c r="P23" s="99"/>
      <c r="Q23" s="158"/>
      <c r="R23" s="99"/>
      <c r="S23" s="159"/>
      <c r="T23" s="159"/>
      <c r="U23" s="159"/>
      <c r="V23" s="99"/>
      <c r="W23" s="160"/>
      <c r="X23" s="160"/>
      <c r="Y23" s="99"/>
      <c r="Z23" s="99"/>
    </row>
    <row r="24" spans="2:26" ht="22" thickBot="1" x14ac:dyDescent="0.3">
      <c r="B24" s="118"/>
      <c r="C24" s="119"/>
      <c r="D24" s="120"/>
      <c r="E24" s="107" t="s">
        <v>55</v>
      </c>
      <c r="F24" s="107"/>
      <c r="G24" s="103">
        <v>4</v>
      </c>
      <c r="H24" s="109">
        <f>IF(D21=4,1,0)</f>
        <v>0</v>
      </c>
      <c r="I24" s="109"/>
      <c r="J24" s="109">
        <f t="shared" si="0"/>
        <v>0</v>
      </c>
      <c r="K24" s="109"/>
      <c r="L24" s="110"/>
      <c r="M24" s="107" t="s">
        <v>56</v>
      </c>
      <c r="N24" s="105">
        <v>4</v>
      </c>
      <c r="O24" s="164">
        <f>IF(L21=4,1,0)</f>
        <v>0</v>
      </c>
      <c r="P24" s="99"/>
      <c r="Q24" s="158"/>
      <c r="R24" s="99"/>
      <c r="S24" s="159"/>
      <c r="T24" s="159"/>
      <c r="U24" s="159"/>
      <c r="V24" s="99"/>
      <c r="W24" s="160"/>
      <c r="X24" s="160"/>
      <c r="Y24" s="99"/>
      <c r="Z24" s="99"/>
    </row>
    <row r="25" spans="2:26" ht="22" thickBot="1" x14ac:dyDescent="0.3">
      <c r="B25" s="121"/>
      <c r="C25" s="56"/>
      <c r="D25" s="122"/>
      <c r="G25" s="111"/>
      <c r="H25" s="90">
        <f>SUM(H21:H24)</f>
        <v>1</v>
      </c>
      <c r="I25" s="99"/>
      <c r="J25" s="99">
        <f>SUM(J21:J24)</f>
        <v>1</v>
      </c>
      <c r="K25" s="99"/>
      <c r="L25" s="113"/>
      <c r="N25" s="112"/>
      <c r="O25" s="92">
        <f>SUM(O21:O24)</f>
        <v>1</v>
      </c>
      <c r="P25" s="99"/>
      <c r="Q25" s="161">
        <f>IF(Q22+Q28&gt;0,1,0)</f>
        <v>1</v>
      </c>
      <c r="R25" s="99"/>
      <c r="S25" s="159"/>
      <c r="T25" s="159"/>
      <c r="U25" s="161">
        <f>IF(U22+U28&gt;0,1,0)</f>
        <v>0</v>
      </c>
      <c r="V25" s="99"/>
      <c r="W25" s="160">
        <f>U25</f>
        <v>0</v>
      </c>
      <c r="X25" s="160"/>
      <c r="Y25" s="99"/>
      <c r="Z25" s="99"/>
    </row>
    <row r="26" spans="2:26" ht="22" thickBot="1" x14ac:dyDescent="0.3">
      <c r="B26" s="84" t="s">
        <v>41</v>
      </c>
      <c r="C26" s="123" t="s">
        <v>60</v>
      </c>
      <c r="D26" s="86" t="s">
        <v>43</v>
      </c>
      <c r="E26" s="88" t="s">
        <v>44</v>
      </c>
      <c r="F26" s="88"/>
      <c r="G26" s="89">
        <v>0</v>
      </c>
      <c r="H26" s="91"/>
      <c r="I26" s="91"/>
      <c r="J26" s="91">
        <f t="shared" si="0"/>
        <v>0</v>
      </c>
      <c r="K26" s="91"/>
      <c r="L26" s="86" t="s">
        <v>43</v>
      </c>
      <c r="M26" s="88"/>
      <c r="N26" s="93"/>
      <c r="O26" s="141"/>
      <c r="P26" s="99"/>
      <c r="Q26" s="158"/>
      <c r="R26" s="99"/>
      <c r="S26" s="159"/>
      <c r="T26" s="159"/>
      <c r="U26" s="159"/>
      <c r="V26" s="99"/>
      <c r="W26" s="160"/>
      <c r="X26" s="160"/>
      <c r="Y26" s="99"/>
      <c r="Z26" s="99"/>
    </row>
    <row r="27" spans="2:26" ht="30" customHeight="1" thickBot="1" x14ac:dyDescent="0.3">
      <c r="B27" s="94" t="s">
        <v>61</v>
      </c>
      <c r="C27" s="124"/>
      <c r="D27" s="60">
        <v>0</v>
      </c>
      <c r="E27" t="s">
        <v>47</v>
      </c>
      <c r="G27" s="97">
        <v>1</v>
      </c>
      <c r="H27" s="99">
        <f>IF(D27=1,1,0)</f>
        <v>0</v>
      </c>
      <c r="I27" s="99"/>
      <c r="J27" s="99">
        <f t="shared" si="0"/>
        <v>0</v>
      </c>
      <c r="K27" s="99"/>
      <c r="L27" s="60">
        <v>0</v>
      </c>
      <c r="M27" t="s">
        <v>48</v>
      </c>
      <c r="N27" s="100">
        <v>1</v>
      </c>
      <c r="O27" s="141">
        <f>IF(L27=1,1,0)</f>
        <v>0</v>
      </c>
      <c r="P27" s="99"/>
      <c r="Q27" s="158"/>
      <c r="R27" s="99"/>
      <c r="S27" s="159"/>
      <c r="T27" s="159"/>
      <c r="U27" s="159"/>
      <c r="V27" s="99"/>
      <c r="W27" s="160"/>
      <c r="X27" s="160"/>
      <c r="Y27" s="99"/>
      <c r="Z27" s="99"/>
    </row>
    <row r="28" spans="2:26" ht="22" thickBot="1" x14ac:dyDescent="0.3">
      <c r="B28" s="94"/>
      <c r="C28" s="124"/>
      <c r="D28" s="100" t="s">
        <v>49</v>
      </c>
      <c r="E28" t="s">
        <v>50</v>
      </c>
      <c r="G28" s="97">
        <v>2</v>
      </c>
      <c r="H28" s="99">
        <f>IF(D27=2,1,0)</f>
        <v>0</v>
      </c>
      <c r="I28" s="99"/>
      <c r="J28" s="99">
        <f t="shared" si="0"/>
        <v>0</v>
      </c>
      <c r="K28" s="99"/>
      <c r="L28" s="98" t="s">
        <v>51</v>
      </c>
      <c r="M28" t="s">
        <v>52</v>
      </c>
      <c r="N28" s="100">
        <v>2</v>
      </c>
      <c r="O28" s="141">
        <f>IF(L27=2,1,0)</f>
        <v>0</v>
      </c>
      <c r="P28" s="99"/>
      <c r="Q28" s="92">
        <f>IF(H31+O31&gt;1,1,0)</f>
        <v>0</v>
      </c>
      <c r="R28" s="99"/>
      <c r="S28" s="159">
        <f>IF(D27&gt;1,1,0)</f>
        <v>0</v>
      </c>
      <c r="T28" s="159">
        <f>IF(L27&gt;1,1,0)</f>
        <v>0</v>
      </c>
      <c r="U28" s="159">
        <f>IF(S28+T28=2,1,0)</f>
        <v>0</v>
      </c>
      <c r="V28" s="99"/>
      <c r="W28" s="160"/>
      <c r="X28" s="160"/>
      <c r="Y28" s="99"/>
      <c r="Z28" s="99"/>
    </row>
    <row r="29" spans="2:26" ht="21" x14ac:dyDescent="0.25">
      <c r="B29" s="94"/>
      <c r="C29" s="124"/>
      <c r="D29" s="117"/>
      <c r="E29" t="s">
        <v>53</v>
      </c>
      <c r="G29" s="97">
        <v>3</v>
      </c>
      <c r="H29" s="99">
        <f>IF(D27=3,1,0)</f>
        <v>0</v>
      </c>
      <c r="I29" s="99"/>
      <c r="J29" s="99">
        <f t="shared" si="0"/>
        <v>0</v>
      </c>
      <c r="K29" s="99"/>
      <c r="L29" s="102"/>
      <c r="M29" t="s">
        <v>54</v>
      </c>
      <c r="N29" s="100">
        <v>3</v>
      </c>
      <c r="O29" s="141">
        <f>IF(L27=3,1,0)</f>
        <v>0</v>
      </c>
      <c r="P29" s="99"/>
      <c r="Q29" s="158"/>
      <c r="R29" s="99"/>
      <c r="S29" s="159"/>
      <c r="T29" s="159"/>
      <c r="U29" s="159"/>
      <c r="V29" s="99"/>
      <c r="W29" s="160"/>
      <c r="X29" s="160"/>
      <c r="Y29" s="99"/>
      <c r="Z29" s="99"/>
    </row>
    <row r="30" spans="2:26" ht="22" thickBot="1" x14ac:dyDescent="0.3">
      <c r="B30" s="118"/>
      <c r="C30" s="125"/>
      <c r="D30" s="120"/>
      <c r="E30" s="107" t="s">
        <v>55</v>
      </c>
      <c r="F30" s="107"/>
      <c r="G30" s="103">
        <v>4</v>
      </c>
      <c r="H30" s="109">
        <f>IF(D27=4,1,0)</f>
        <v>0</v>
      </c>
      <c r="I30" s="109"/>
      <c r="J30" s="109">
        <f t="shared" si="0"/>
        <v>0</v>
      </c>
      <c r="K30" s="109"/>
      <c r="L30" s="110"/>
      <c r="M30" s="107" t="s">
        <v>56</v>
      </c>
      <c r="N30" s="105">
        <v>4</v>
      </c>
      <c r="O30" s="164">
        <f>IF(L27=4,1,0)</f>
        <v>0</v>
      </c>
      <c r="P30" s="99"/>
      <c r="Q30" s="158"/>
      <c r="R30" s="99"/>
      <c r="S30" s="159"/>
      <c r="T30" s="159"/>
      <c r="U30" s="159"/>
      <c r="V30" s="99"/>
      <c r="W30" s="160"/>
      <c r="X30" s="160"/>
      <c r="Y30" s="99"/>
      <c r="Z30" s="99"/>
    </row>
    <row r="31" spans="2:26" ht="22" thickBot="1" x14ac:dyDescent="0.3">
      <c r="B31" s="121"/>
      <c r="C31" s="56"/>
      <c r="D31" s="122"/>
      <c r="G31" s="111"/>
      <c r="H31" s="98">
        <f>SUM(H27:H30)</f>
        <v>0</v>
      </c>
      <c r="I31" s="99"/>
      <c r="J31" s="99">
        <f>SUM(J27:J30)</f>
        <v>0</v>
      </c>
      <c r="K31" s="99"/>
      <c r="L31" s="113"/>
      <c r="N31" s="112"/>
      <c r="O31" s="92">
        <f>SUM(O27:O30)</f>
        <v>0</v>
      </c>
      <c r="P31" s="99"/>
      <c r="Q31" s="99"/>
      <c r="R31" s="99"/>
      <c r="S31" s="99"/>
      <c r="T31" s="99"/>
      <c r="U31" s="99"/>
      <c r="V31" s="99"/>
      <c r="W31" s="99"/>
      <c r="X31" s="99"/>
      <c r="Y31" s="99"/>
      <c r="Z31" s="99"/>
    </row>
    <row r="32" spans="2:26" ht="22" thickBot="1" x14ac:dyDescent="0.3">
      <c r="B32" s="84" t="s">
        <v>41</v>
      </c>
      <c r="C32" s="114" t="s">
        <v>62</v>
      </c>
      <c r="D32" s="86" t="s">
        <v>43</v>
      </c>
      <c r="E32" s="88" t="s">
        <v>44</v>
      </c>
      <c r="F32" s="88"/>
      <c r="G32" s="89">
        <v>0</v>
      </c>
      <c r="H32" s="91">
        <v>1</v>
      </c>
      <c r="I32" s="91"/>
      <c r="J32" s="91">
        <f t="shared" si="0"/>
        <v>0</v>
      </c>
      <c r="K32" s="91"/>
      <c r="L32" s="86" t="s">
        <v>43</v>
      </c>
      <c r="M32" s="88"/>
      <c r="N32" s="93"/>
      <c r="O32" s="141"/>
      <c r="P32" s="99"/>
      <c r="Q32" s="158"/>
      <c r="R32" s="99"/>
      <c r="S32" s="159"/>
      <c r="T32" s="159"/>
      <c r="U32" s="159"/>
      <c r="V32" s="99"/>
      <c r="W32" s="160"/>
      <c r="X32" s="160"/>
      <c r="Y32" s="99"/>
      <c r="Z32" s="99"/>
    </row>
    <row r="33" spans="2:26" ht="30" customHeight="1" thickBot="1" x14ac:dyDescent="0.3">
      <c r="B33" s="94" t="s">
        <v>63</v>
      </c>
      <c r="C33" s="116" t="s">
        <v>64</v>
      </c>
      <c r="D33" s="60">
        <v>1</v>
      </c>
      <c r="E33" t="s">
        <v>47</v>
      </c>
      <c r="G33" s="97">
        <v>1</v>
      </c>
      <c r="H33" s="99">
        <f>IF(D33=1,1,0)</f>
        <v>1</v>
      </c>
      <c r="I33" s="99"/>
      <c r="J33" s="99">
        <f t="shared" si="0"/>
        <v>1</v>
      </c>
      <c r="K33" s="99"/>
      <c r="L33" s="60">
        <v>1</v>
      </c>
      <c r="M33" t="s">
        <v>48</v>
      </c>
      <c r="N33" s="100">
        <v>1</v>
      </c>
      <c r="O33" s="141">
        <f>IF(L33=1,1,0)</f>
        <v>1</v>
      </c>
      <c r="P33" s="99"/>
      <c r="Q33" s="158"/>
      <c r="R33" s="99"/>
      <c r="S33" s="159"/>
      <c r="T33" s="159"/>
      <c r="U33" s="159"/>
      <c r="V33" s="99"/>
      <c r="W33" s="160"/>
      <c r="X33" s="160"/>
      <c r="Y33" s="99"/>
      <c r="Z33" s="99"/>
    </row>
    <row r="34" spans="2:26" ht="22" thickBot="1" x14ac:dyDescent="0.3">
      <c r="B34" s="94"/>
      <c r="C34" s="115"/>
      <c r="D34" s="100" t="s">
        <v>49</v>
      </c>
      <c r="E34" t="s">
        <v>50</v>
      </c>
      <c r="G34" s="97">
        <v>2</v>
      </c>
      <c r="H34" s="99">
        <f>IF(D33=2,1,0)</f>
        <v>0</v>
      </c>
      <c r="I34" s="99"/>
      <c r="J34" s="99">
        <f t="shared" si="0"/>
        <v>0</v>
      </c>
      <c r="K34" s="99"/>
      <c r="L34" s="98" t="s">
        <v>51</v>
      </c>
      <c r="M34" t="s">
        <v>52</v>
      </c>
      <c r="N34" s="100">
        <v>2</v>
      </c>
      <c r="O34" s="141">
        <f>IF(L33=2,1,0)</f>
        <v>0</v>
      </c>
      <c r="P34" s="99"/>
      <c r="Q34" s="161">
        <f>IF(H37+O37&gt;1,1,0)</f>
        <v>1</v>
      </c>
      <c r="R34" s="99"/>
      <c r="S34" s="159">
        <f>IF(D33&gt;1,1,0)</f>
        <v>0</v>
      </c>
      <c r="T34" s="159">
        <f>IF(L33&gt;1,1,0)</f>
        <v>0</v>
      </c>
      <c r="U34" s="161">
        <f>IF(S34+T34=2,1,0)</f>
        <v>0</v>
      </c>
      <c r="V34" s="99"/>
      <c r="W34" s="160">
        <f>U34</f>
        <v>0</v>
      </c>
      <c r="X34" s="160"/>
      <c r="Y34" s="99"/>
      <c r="Z34" s="99"/>
    </row>
    <row r="35" spans="2:26" ht="21" x14ac:dyDescent="0.25">
      <c r="B35" s="94"/>
      <c r="C35" s="115"/>
      <c r="D35" s="117"/>
      <c r="E35" t="s">
        <v>53</v>
      </c>
      <c r="G35" s="97">
        <v>3</v>
      </c>
      <c r="H35" s="99">
        <f>IF(D33=3,1,0)</f>
        <v>0</v>
      </c>
      <c r="I35" s="99"/>
      <c r="J35" s="99">
        <f t="shared" si="0"/>
        <v>0</v>
      </c>
      <c r="K35" s="99"/>
      <c r="L35" s="102"/>
      <c r="M35" t="s">
        <v>54</v>
      </c>
      <c r="N35" s="100">
        <v>3</v>
      </c>
      <c r="O35" s="141">
        <f>IF(L33=3,1,0)</f>
        <v>0</v>
      </c>
      <c r="P35" s="99"/>
      <c r="Q35" s="158"/>
      <c r="R35" s="99"/>
      <c r="S35" s="159"/>
      <c r="T35" s="159"/>
      <c r="U35" s="159"/>
      <c r="V35" s="99"/>
      <c r="W35" s="160"/>
      <c r="X35" s="160"/>
      <c r="Y35" s="99"/>
      <c r="Z35" s="99"/>
    </row>
    <row r="36" spans="2:26" ht="22" thickBot="1" x14ac:dyDescent="0.3">
      <c r="B36" s="118"/>
      <c r="C36" s="119"/>
      <c r="D36" s="120"/>
      <c r="E36" s="107" t="s">
        <v>55</v>
      </c>
      <c r="F36" s="107"/>
      <c r="G36" s="103">
        <v>4</v>
      </c>
      <c r="H36" s="109">
        <f>IF(D33=4,1,0)</f>
        <v>0</v>
      </c>
      <c r="I36" s="109"/>
      <c r="J36" s="109">
        <f t="shared" si="0"/>
        <v>0</v>
      </c>
      <c r="K36" s="109"/>
      <c r="L36" s="110"/>
      <c r="M36" s="107" t="s">
        <v>56</v>
      </c>
      <c r="N36" s="105">
        <v>4</v>
      </c>
      <c r="O36" s="164">
        <f>IF(L33=4,1,0)</f>
        <v>0</v>
      </c>
      <c r="P36" s="99"/>
      <c r="Q36" s="158"/>
      <c r="R36" s="99"/>
      <c r="S36" s="159"/>
      <c r="T36" s="159"/>
      <c r="U36" s="159"/>
      <c r="V36" s="99"/>
      <c r="W36" s="160"/>
      <c r="X36" s="160"/>
      <c r="Y36" s="99"/>
      <c r="Z36" s="99"/>
    </row>
    <row r="37" spans="2:26" ht="22" thickBot="1" x14ac:dyDescent="0.3">
      <c r="B37" s="121"/>
      <c r="C37" s="56"/>
      <c r="D37" s="122"/>
      <c r="G37" s="111"/>
      <c r="H37" s="98">
        <f>SUM(H33:H36)</f>
        <v>1</v>
      </c>
      <c r="I37" s="99"/>
      <c r="J37" s="99">
        <f>SUM(J33:J36)</f>
        <v>1</v>
      </c>
      <c r="K37" s="99"/>
      <c r="L37" s="113"/>
      <c r="N37" s="112"/>
      <c r="O37" s="92">
        <f>SUM(O33:O36)</f>
        <v>1</v>
      </c>
      <c r="P37" s="99"/>
      <c r="Q37" s="99"/>
      <c r="R37" s="99"/>
      <c r="S37" s="99"/>
      <c r="T37" s="99"/>
      <c r="U37" s="99"/>
      <c r="V37" s="99"/>
      <c r="W37" s="99"/>
      <c r="X37" s="99"/>
      <c r="Y37" s="99"/>
      <c r="Z37" s="99"/>
    </row>
    <row r="38" spans="2:26" ht="22" thickBot="1" x14ac:dyDescent="0.3">
      <c r="B38" s="84" t="s">
        <v>41</v>
      </c>
      <c r="C38" s="85" t="s">
        <v>65</v>
      </c>
      <c r="D38" s="86" t="s">
        <v>43</v>
      </c>
      <c r="E38" s="88" t="s">
        <v>44</v>
      </c>
      <c r="F38" s="88"/>
      <c r="G38" s="89">
        <v>0</v>
      </c>
      <c r="H38" s="91"/>
      <c r="I38" s="91"/>
      <c r="J38" s="91">
        <f t="shared" si="0"/>
        <v>0</v>
      </c>
      <c r="K38" s="91"/>
      <c r="L38" s="86" t="s">
        <v>43</v>
      </c>
      <c r="M38" s="88"/>
      <c r="N38" s="93"/>
      <c r="O38" s="141"/>
      <c r="P38" s="99"/>
      <c r="Q38" s="158"/>
      <c r="R38" s="99"/>
      <c r="S38" s="159"/>
      <c r="T38" s="159"/>
      <c r="U38" s="159"/>
      <c r="V38" s="99"/>
      <c r="W38" s="99"/>
      <c r="X38" s="99"/>
      <c r="Y38" s="99"/>
      <c r="Z38" s="99"/>
    </row>
    <row r="39" spans="2:26" ht="30" customHeight="1" thickBot="1" x14ac:dyDescent="0.3">
      <c r="B39" s="94" t="s">
        <v>66</v>
      </c>
      <c r="C39" s="56"/>
      <c r="D39" s="60">
        <v>1</v>
      </c>
      <c r="E39" t="s">
        <v>47</v>
      </c>
      <c r="G39" s="97">
        <v>1</v>
      </c>
      <c r="H39" s="99">
        <f>IF(D39=1,1,0)</f>
        <v>1</v>
      </c>
      <c r="I39" s="99"/>
      <c r="J39" s="99">
        <f t="shared" si="0"/>
        <v>1</v>
      </c>
      <c r="K39" s="99"/>
      <c r="L39" s="60">
        <v>1</v>
      </c>
      <c r="M39" t="s">
        <v>48</v>
      </c>
      <c r="N39" s="100">
        <v>1</v>
      </c>
      <c r="O39" s="141">
        <f>IF(L39=1,1,0)</f>
        <v>1</v>
      </c>
      <c r="P39" s="99"/>
      <c r="Q39" s="158"/>
      <c r="R39" s="99"/>
      <c r="S39" s="159"/>
      <c r="T39" s="159"/>
      <c r="U39" s="159"/>
      <c r="V39" s="99"/>
      <c r="W39" s="99"/>
      <c r="X39" s="99"/>
      <c r="Y39" s="99"/>
      <c r="Z39" s="99"/>
    </row>
    <row r="40" spans="2:26" ht="22" thickBot="1" x14ac:dyDescent="0.3">
      <c r="B40" s="94"/>
      <c r="C40" s="56"/>
      <c r="D40" s="100" t="s">
        <v>49</v>
      </c>
      <c r="E40" t="s">
        <v>50</v>
      </c>
      <c r="G40" s="97">
        <v>2</v>
      </c>
      <c r="H40" s="99">
        <f>IF(D39=2,1,0)</f>
        <v>0</v>
      </c>
      <c r="I40" s="99"/>
      <c r="J40" s="99">
        <f t="shared" si="0"/>
        <v>0</v>
      </c>
      <c r="K40" s="99"/>
      <c r="L40" s="126" t="s">
        <v>51</v>
      </c>
      <c r="M40" t="s">
        <v>52</v>
      </c>
      <c r="N40" s="100">
        <v>2</v>
      </c>
      <c r="O40" s="141">
        <f>IF(L39=2,1,0)</f>
        <v>0</v>
      </c>
      <c r="P40" s="99"/>
      <c r="Q40" s="161">
        <f>IF(H43+O43&gt;1,1,0)</f>
        <v>1</v>
      </c>
      <c r="R40" s="99"/>
      <c r="S40" s="159">
        <f>IF(D39&gt;1,1,0)</f>
        <v>0</v>
      </c>
      <c r="T40" s="159">
        <f>IF(L39&gt;1,1,0)</f>
        <v>0</v>
      </c>
      <c r="U40" s="159">
        <f>IF(S40+T40=2,1,0)</f>
        <v>0</v>
      </c>
      <c r="V40" s="99"/>
      <c r="W40" s="99"/>
      <c r="X40" s="99"/>
      <c r="Y40" s="99"/>
      <c r="Z40" s="99"/>
    </row>
    <row r="41" spans="2:26" ht="21" x14ac:dyDescent="0.25">
      <c r="B41" s="94"/>
      <c r="C41" s="56"/>
      <c r="D41" s="117"/>
      <c r="E41" t="s">
        <v>53</v>
      </c>
      <c r="G41" s="97">
        <v>3</v>
      </c>
      <c r="H41" s="99">
        <f>IF(D39=3,1,0)</f>
        <v>0</v>
      </c>
      <c r="I41" s="99"/>
      <c r="J41" s="99">
        <f t="shared" si="0"/>
        <v>0</v>
      </c>
      <c r="K41" s="99"/>
      <c r="L41" s="102"/>
      <c r="M41" t="s">
        <v>54</v>
      </c>
      <c r="N41" s="100">
        <v>3</v>
      </c>
      <c r="O41" s="141">
        <f>IF(L39=3,1,0)</f>
        <v>0</v>
      </c>
      <c r="P41" s="99"/>
      <c r="Q41" s="158"/>
      <c r="R41" s="99"/>
      <c r="S41" s="159"/>
      <c r="T41" s="159"/>
      <c r="U41" s="159"/>
      <c r="V41" s="99"/>
      <c r="W41" s="99"/>
      <c r="X41" s="99"/>
      <c r="Y41" s="99"/>
      <c r="Z41" s="99"/>
    </row>
    <row r="42" spans="2:26" ht="22" thickBot="1" x14ac:dyDescent="0.3">
      <c r="B42" s="118"/>
      <c r="C42" s="127"/>
      <c r="D42" s="120"/>
      <c r="E42" s="107" t="s">
        <v>55</v>
      </c>
      <c r="F42" s="107"/>
      <c r="G42" s="103">
        <v>4</v>
      </c>
      <c r="H42" s="109">
        <f>IF(D39=4,1,0)</f>
        <v>0</v>
      </c>
      <c r="I42" s="109"/>
      <c r="J42" s="109">
        <f t="shared" si="0"/>
        <v>0</v>
      </c>
      <c r="K42" s="109"/>
      <c r="L42" s="110"/>
      <c r="M42" s="107" t="s">
        <v>56</v>
      </c>
      <c r="N42" s="105">
        <v>4</v>
      </c>
      <c r="O42" s="164">
        <f>IF(L39=4,1,0)</f>
        <v>0</v>
      </c>
      <c r="P42" s="99"/>
      <c r="Q42" s="158"/>
      <c r="R42" s="99"/>
      <c r="S42" s="159"/>
      <c r="T42" s="159"/>
      <c r="U42" s="159"/>
      <c r="V42" s="99"/>
      <c r="W42" s="99"/>
      <c r="X42" s="99"/>
      <c r="Y42" s="99"/>
      <c r="Z42" s="99"/>
    </row>
    <row r="43" spans="2:26" ht="22" thickBot="1" x14ac:dyDescent="0.3">
      <c r="B43" s="121"/>
      <c r="C43" s="56"/>
      <c r="D43" s="122"/>
      <c r="G43" s="111"/>
      <c r="H43" s="98">
        <f>SUM(H39:H42)</f>
        <v>1</v>
      </c>
      <c r="I43" s="99"/>
      <c r="J43" s="99">
        <f>SUM(J39:J42)</f>
        <v>1</v>
      </c>
      <c r="K43" s="99"/>
      <c r="L43" s="113"/>
      <c r="N43" s="112"/>
      <c r="O43" s="92">
        <f>SUM(O39:O42)</f>
        <v>1</v>
      </c>
      <c r="P43" s="99"/>
      <c r="Q43" s="99"/>
      <c r="R43" s="99"/>
      <c r="S43" s="159"/>
      <c r="T43" s="159"/>
      <c r="U43" s="161">
        <f>IF(U40+U46&gt;0,1,0)</f>
        <v>0</v>
      </c>
      <c r="V43" s="99"/>
      <c r="W43" s="99"/>
      <c r="X43" s="99"/>
      <c r="Y43" s="99"/>
      <c r="Z43" s="99"/>
    </row>
    <row r="44" spans="2:26" ht="22" thickBot="1" x14ac:dyDescent="0.3">
      <c r="B44" s="84" t="s">
        <v>41</v>
      </c>
      <c r="C44" s="128" t="s">
        <v>67</v>
      </c>
      <c r="D44" s="86" t="s">
        <v>43</v>
      </c>
      <c r="E44" s="88" t="s">
        <v>44</v>
      </c>
      <c r="F44" s="88"/>
      <c r="G44" s="89">
        <v>0</v>
      </c>
      <c r="H44" s="91"/>
      <c r="I44" s="91"/>
      <c r="J44" s="91">
        <f t="shared" ref="J44:J48" si="1">G44*H44</f>
        <v>0</v>
      </c>
      <c r="K44" s="91"/>
      <c r="L44" s="86" t="s">
        <v>43</v>
      </c>
      <c r="M44" s="88"/>
      <c r="N44" s="93"/>
      <c r="O44" s="141"/>
      <c r="P44" s="99"/>
      <c r="Q44" s="99"/>
      <c r="R44" s="99"/>
      <c r="S44" s="159"/>
      <c r="T44" s="159"/>
      <c r="U44" s="159"/>
      <c r="V44" s="99"/>
      <c r="W44" s="99"/>
      <c r="X44" s="99"/>
      <c r="Y44" s="99"/>
      <c r="Z44" s="99"/>
    </row>
    <row r="45" spans="2:26" ht="30" customHeight="1" thickBot="1" x14ac:dyDescent="0.3">
      <c r="B45" s="94" t="s">
        <v>68</v>
      </c>
      <c r="C45" s="129"/>
      <c r="D45" s="60">
        <v>0</v>
      </c>
      <c r="E45" t="s">
        <v>47</v>
      </c>
      <c r="G45" s="97">
        <v>1</v>
      </c>
      <c r="H45" s="99">
        <f>IF(D45=1,1,0)</f>
        <v>0</v>
      </c>
      <c r="I45" s="99"/>
      <c r="J45" s="99">
        <f t="shared" si="1"/>
        <v>0</v>
      </c>
      <c r="K45" s="99"/>
      <c r="L45" s="60">
        <v>0</v>
      </c>
      <c r="M45" t="s">
        <v>48</v>
      </c>
      <c r="N45" s="100">
        <v>1</v>
      </c>
      <c r="O45" s="141">
        <f>IF(L45=1,1,0)</f>
        <v>0</v>
      </c>
      <c r="P45" s="99"/>
      <c r="Q45" s="99"/>
      <c r="R45" s="99"/>
      <c r="S45" s="159"/>
      <c r="T45" s="159"/>
      <c r="U45" s="159"/>
      <c r="V45" s="99"/>
      <c r="W45" s="99"/>
      <c r="X45" s="99"/>
      <c r="Y45" s="99"/>
      <c r="Z45" s="99"/>
    </row>
    <row r="46" spans="2:26" ht="21" x14ac:dyDescent="0.25">
      <c r="B46" s="94"/>
      <c r="C46" s="129"/>
      <c r="D46" s="100" t="s">
        <v>49</v>
      </c>
      <c r="E46" t="s">
        <v>50</v>
      </c>
      <c r="G46" s="97">
        <v>2</v>
      </c>
      <c r="H46" s="99">
        <f>IF(D45=2,1,0)</f>
        <v>0</v>
      </c>
      <c r="I46" s="99"/>
      <c r="J46" s="99">
        <f t="shared" si="1"/>
        <v>0</v>
      </c>
      <c r="K46" s="99"/>
      <c r="L46" s="126" t="s">
        <v>51</v>
      </c>
      <c r="M46" t="s">
        <v>52</v>
      </c>
      <c r="N46" s="100">
        <v>2</v>
      </c>
      <c r="O46" s="141">
        <f>IF(L45=2,1,0)</f>
        <v>0</v>
      </c>
      <c r="P46" s="99"/>
      <c r="Q46" s="99"/>
      <c r="R46" s="99"/>
      <c r="S46" s="159">
        <f>IF(D45&gt;1,1,0)</f>
        <v>0</v>
      </c>
      <c r="T46" s="159">
        <f>IF(L45&gt;1,1,0)</f>
        <v>0</v>
      </c>
      <c r="U46" s="159">
        <f>IF(S46+T46=2,1,0)</f>
        <v>0</v>
      </c>
      <c r="V46" s="99"/>
      <c r="W46" s="99"/>
      <c r="X46" s="99"/>
      <c r="Y46" s="99"/>
      <c r="Z46" s="99"/>
    </row>
    <row r="47" spans="2:26" ht="21" x14ac:dyDescent="0.25">
      <c r="B47" s="94"/>
      <c r="C47" s="129"/>
      <c r="D47" s="117"/>
      <c r="E47" t="s">
        <v>53</v>
      </c>
      <c r="G47" s="97">
        <v>3</v>
      </c>
      <c r="H47" s="99">
        <f>IF(D45=3,1,0)</f>
        <v>0</v>
      </c>
      <c r="I47" s="99"/>
      <c r="J47" s="99">
        <f t="shared" si="1"/>
        <v>0</v>
      </c>
      <c r="K47" s="99"/>
      <c r="L47" s="102"/>
      <c r="M47" t="s">
        <v>54</v>
      </c>
      <c r="N47" s="100">
        <v>3</v>
      </c>
      <c r="O47" s="141">
        <f>IF(L45=3,1,0)</f>
        <v>0</v>
      </c>
      <c r="P47" s="99"/>
      <c r="Q47" s="99"/>
      <c r="R47" s="99"/>
      <c r="S47" s="159"/>
      <c r="T47" s="159"/>
      <c r="U47" s="159"/>
      <c r="V47" s="99"/>
      <c r="W47" s="99"/>
      <c r="X47" s="99"/>
      <c r="Y47" s="99"/>
      <c r="Z47" s="99"/>
    </row>
    <row r="48" spans="2:26" ht="22" thickBot="1" x14ac:dyDescent="0.3">
      <c r="B48" s="118"/>
      <c r="C48" s="130"/>
      <c r="D48" s="120"/>
      <c r="E48" s="107" t="s">
        <v>55</v>
      </c>
      <c r="F48" s="107"/>
      <c r="G48" s="103">
        <v>4</v>
      </c>
      <c r="H48" s="109">
        <f>IF(D45=4,1,0)</f>
        <v>0</v>
      </c>
      <c r="I48" s="109"/>
      <c r="J48" s="109">
        <f t="shared" si="1"/>
        <v>0</v>
      </c>
      <c r="K48" s="109"/>
      <c r="L48" s="110"/>
      <c r="M48" s="107" t="s">
        <v>56</v>
      </c>
      <c r="N48" s="105">
        <v>4</v>
      </c>
      <c r="O48" s="164">
        <f>IF(L45=4,1,0)</f>
        <v>0</v>
      </c>
      <c r="P48" s="99"/>
      <c r="Q48" s="99"/>
      <c r="R48" s="99"/>
      <c r="S48" s="159"/>
      <c r="T48" s="159"/>
      <c r="U48" s="159"/>
      <c r="V48" s="99"/>
      <c r="W48" s="99"/>
      <c r="X48" s="99"/>
      <c r="Y48" s="99"/>
      <c r="Z48" s="99"/>
    </row>
    <row r="49" spans="2:26" ht="22" thickBot="1" x14ac:dyDescent="0.3">
      <c r="B49" s="121"/>
      <c r="C49" s="56"/>
      <c r="D49" s="122"/>
      <c r="G49" s="111"/>
      <c r="H49" s="98">
        <f>SUM(H45:H48)</f>
        <v>0</v>
      </c>
      <c r="I49" s="99"/>
      <c r="J49" s="99">
        <f>SUM(J45:J48)</f>
        <v>0</v>
      </c>
      <c r="K49" s="99"/>
      <c r="L49" s="113"/>
      <c r="N49" s="112"/>
      <c r="O49" s="92">
        <f>SUM(O45:O48)</f>
        <v>0</v>
      </c>
      <c r="P49" s="99"/>
      <c r="Q49" s="99"/>
      <c r="R49" s="99"/>
      <c r="S49" s="99"/>
      <c r="T49" s="99"/>
      <c r="U49" s="99"/>
      <c r="V49" s="99"/>
      <c r="W49" s="99"/>
      <c r="X49" s="99"/>
      <c r="Y49" s="99"/>
      <c r="Z49" s="99"/>
    </row>
    <row r="50" spans="2:26" ht="22" thickBot="1" x14ac:dyDescent="0.3">
      <c r="B50" s="84" t="s">
        <v>41</v>
      </c>
      <c r="C50" s="128" t="s">
        <v>69</v>
      </c>
      <c r="D50" s="86" t="s">
        <v>43</v>
      </c>
      <c r="E50" s="88" t="s">
        <v>44</v>
      </c>
      <c r="F50" s="88"/>
      <c r="G50" s="89">
        <v>0</v>
      </c>
      <c r="H50" s="91"/>
      <c r="I50" s="91"/>
      <c r="J50" s="91">
        <f t="shared" si="0"/>
        <v>0</v>
      </c>
      <c r="K50" s="91"/>
      <c r="L50" s="86" t="s">
        <v>43</v>
      </c>
      <c r="M50" s="88"/>
      <c r="N50" s="93"/>
      <c r="O50" s="141"/>
      <c r="P50" s="99"/>
      <c r="Q50" s="158"/>
      <c r="R50" s="99"/>
      <c r="S50" s="159"/>
      <c r="T50" s="159"/>
      <c r="U50" s="159"/>
      <c r="V50" s="99"/>
      <c r="W50" s="160"/>
      <c r="X50" s="160"/>
      <c r="Y50" s="99"/>
      <c r="Z50" s="99"/>
    </row>
    <row r="51" spans="2:26" ht="30" customHeight="1" thickBot="1" x14ac:dyDescent="0.3">
      <c r="B51" s="94" t="s">
        <v>70</v>
      </c>
      <c r="C51" s="129"/>
      <c r="D51" s="60">
        <v>1</v>
      </c>
      <c r="E51" t="s">
        <v>47</v>
      </c>
      <c r="G51" s="97">
        <v>1</v>
      </c>
      <c r="H51" s="99">
        <f>IF(D51=1,1,0)</f>
        <v>1</v>
      </c>
      <c r="I51" s="99"/>
      <c r="J51" s="99">
        <f t="shared" si="0"/>
        <v>1</v>
      </c>
      <c r="K51" s="99"/>
      <c r="L51" s="60">
        <v>1</v>
      </c>
      <c r="M51" t="s">
        <v>48</v>
      </c>
      <c r="N51" s="100">
        <v>1</v>
      </c>
      <c r="O51" s="141">
        <f>IF(L51=1,1,0)</f>
        <v>1</v>
      </c>
      <c r="P51" s="99"/>
      <c r="Q51" s="158"/>
      <c r="R51" s="99"/>
      <c r="S51" s="159"/>
      <c r="T51" s="159"/>
      <c r="U51" s="159"/>
      <c r="V51" s="99"/>
      <c r="W51" s="160"/>
      <c r="X51" s="160"/>
      <c r="Y51" s="99"/>
      <c r="Z51" s="99"/>
    </row>
    <row r="52" spans="2:26" ht="22" thickBot="1" x14ac:dyDescent="0.3">
      <c r="B52" s="94"/>
      <c r="C52" s="129"/>
      <c r="D52" s="100" t="s">
        <v>49</v>
      </c>
      <c r="E52" t="s">
        <v>50</v>
      </c>
      <c r="G52" s="97">
        <v>2</v>
      </c>
      <c r="H52" s="99">
        <f>IF(D51=2,1,0)</f>
        <v>0</v>
      </c>
      <c r="I52" s="99"/>
      <c r="J52" s="99">
        <f t="shared" si="0"/>
        <v>0</v>
      </c>
      <c r="K52" s="99"/>
      <c r="L52" s="126" t="s">
        <v>51</v>
      </c>
      <c r="M52" t="s">
        <v>52</v>
      </c>
      <c r="N52" s="100">
        <v>2</v>
      </c>
      <c r="O52" s="141">
        <f>IF(L51=2,1,0)</f>
        <v>0</v>
      </c>
      <c r="P52" s="99"/>
      <c r="Q52" s="92">
        <f>IF(H55+O55&gt;1,1,0)</f>
        <v>1</v>
      </c>
      <c r="R52" s="99"/>
      <c r="S52" s="159">
        <f>IF(D51&gt;1,1,0)</f>
        <v>0</v>
      </c>
      <c r="T52" s="159">
        <f>IF(L51&gt;1,1,0)</f>
        <v>0</v>
      </c>
      <c r="U52" s="159">
        <f>IF(S52+T52=2,1,0)</f>
        <v>0</v>
      </c>
      <c r="V52" s="99"/>
      <c r="W52" s="160"/>
      <c r="X52" s="160"/>
      <c r="Y52" s="99"/>
      <c r="Z52" s="99"/>
    </row>
    <row r="53" spans="2:26" ht="21" x14ac:dyDescent="0.25">
      <c r="B53" s="94"/>
      <c r="C53" s="129"/>
      <c r="D53" s="117"/>
      <c r="E53" t="s">
        <v>53</v>
      </c>
      <c r="G53" s="97">
        <v>3</v>
      </c>
      <c r="H53" s="99">
        <f>IF(D51=3,1,0)</f>
        <v>0</v>
      </c>
      <c r="I53" s="99"/>
      <c r="J53" s="99">
        <f t="shared" si="0"/>
        <v>0</v>
      </c>
      <c r="K53" s="99"/>
      <c r="L53" s="102"/>
      <c r="M53" t="s">
        <v>54</v>
      </c>
      <c r="N53" s="100">
        <v>3</v>
      </c>
      <c r="O53" s="141">
        <f>IF(L51=3,1,0)</f>
        <v>0</v>
      </c>
      <c r="P53" s="99"/>
      <c r="Q53" s="158"/>
      <c r="R53" s="99"/>
      <c r="S53" s="159"/>
      <c r="T53" s="159"/>
      <c r="U53" s="159"/>
      <c r="V53" s="99"/>
      <c r="W53" s="160"/>
      <c r="X53" s="160"/>
      <c r="Y53" s="99"/>
      <c r="Z53" s="99"/>
    </row>
    <row r="54" spans="2:26" ht="22" thickBot="1" x14ac:dyDescent="0.3">
      <c r="B54" s="118"/>
      <c r="C54" s="130"/>
      <c r="D54" s="120"/>
      <c r="E54" s="107" t="s">
        <v>55</v>
      </c>
      <c r="F54" s="107"/>
      <c r="G54" s="103">
        <v>4</v>
      </c>
      <c r="H54" s="109">
        <f>IF(D51=4,1,0)</f>
        <v>0</v>
      </c>
      <c r="I54" s="109"/>
      <c r="J54" s="109">
        <f t="shared" si="0"/>
        <v>0</v>
      </c>
      <c r="K54" s="109"/>
      <c r="L54" s="110"/>
      <c r="M54" s="107" t="s">
        <v>56</v>
      </c>
      <c r="N54" s="105">
        <v>4</v>
      </c>
      <c r="O54" s="164">
        <f>IF(L51=4,1,0)</f>
        <v>0</v>
      </c>
      <c r="P54" s="99"/>
      <c r="Q54" s="158"/>
      <c r="R54" s="99"/>
      <c r="S54" s="159"/>
      <c r="T54" s="159"/>
      <c r="U54" s="159"/>
      <c r="V54" s="99"/>
      <c r="W54" s="160"/>
      <c r="X54" s="160"/>
      <c r="Y54" s="99"/>
      <c r="Z54" s="99"/>
    </row>
    <row r="55" spans="2:26" ht="22" thickBot="1" x14ac:dyDescent="0.3">
      <c r="B55" s="121"/>
      <c r="C55" s="56"/>
      <c r="D55" s="122"/>
      <c r="G55" s="111"/>
      <c r="H55" s="98">
        <f>SUM(H51:H54)</f>
        <v>1</v>
      </c>
      <c r="I55" s="99"/>
      <c r="J55" s="99">
        <f>SUM(J51:J54)</f>
        <v>1</v>
      </c>
      <c r="K55" s="99"/>
      <c r="L55" s="113"/>
      <c r="N55" s="112"/>
      <c r="O55" s="92">
        <f>SUM(O51:O54)</f>
        <v>1</v>
      </c>
      <c r="P55" s="99"/>
      <c r="Q55" s="161">
        <f>IF(Q52+Q58&gt;0,1,0)</f>
        <v>1</v>
      </c>
      <c r="R55" s="99"/>
      <c r="S55" s="159"/>
      <c r="T55" s="159"/>
      <c r="U55" s="161">
        <f>IF(U52+U58&gt;0,1,0)</f>
        <v>0</v>
      </c>
      <c r="V55" s="99"/>
      <c r="W55" s="160">
        <f>U55</f>
        <v>0</v>
      </c>
      <c r="X55" s="160"/>
      <c r="Y55" s="99"/>
      <c r="Z55" s="99"/>
    </row>
    <row r="56" spans="2:26" ht="22" thickBot="1" x14ac:dyDescent="0.3">
      <c r="B56" s="131" t="s">
        <v>41</v>
      </c>
      <c r="C56" s="132" t="s">
        <v>71</v>
      </c>
      <c r="D56" s="133" t="s">
        <v>43</v>
      </c>
      <c r="E56" s="88" t="s">
        <v>44</v>
      </c>
      <c r="F56" s="88"/>
      <c r="G56" s="89">
        <v>0</v>
      </c>
      <c r="H56" s="91"/>
      <c r="I56" s="91"/>
      <c r="J56" s="91">
        <f t="shared" si="0"/>
        <v>0</v>
      </c>
      <c r="K56" s="91"/>
      <c r="L56" s="86" t="s">
        <v>43</v>
      </c>
      <c r="M56" s="88"/>
      <c r="N56" s="93"/>
      <c r="O56" s="141"/>
      <c r="P56" s="99"/>
      <c r="Q56" s="158"/>
      <c r="R56" s="99"/>
      <c r="S56" s="159"/>
      <c r="T56" s="159"/>
      <c r="U56" s="159"/>
      <c r="V56" s="99"/>
      <c r="W56" s="160"/>
      <c r="X56" s="160"/>
      <c r="Y56" s="99"/>
      <c r="Z56" s="99"/>
    </row>
    <row r="57" spans="2:26" ht="30" customHeight="1" thickBot="1" x14ac:dyDescent="0.3">
      <c r="B57" s="134" t="s">
        <v>72</v>
      </c>
      <c r="C57" s="115" t="s">
        <v>73</v>
      </c>
      <c r="D57" s="135">
        <v>1</v>
      </c>
      <c r="E57" t="s">
        <v>47</v>
      </c>
      <c r="G57" s="97">
        <v>1</v>
      </c>
      <c r="H57" s="99">
        <f>IF(D57=1,1,0)</f>
        <v>1</v>
      </c>
      <c r="I57" s="99"/>
      <c r="J57" s="99">
        <f t="shared" si="0"/>
        <v>1</v>
      </c>
      <c r="K57" s="99"/>
      <c r="L57" s="60">
        <v>1</v>
      </c>
      <c r="M57" t="s">
        <v>48</v>
      </c>
      <c r="N57" s="100">
        <v>1</v>
      </c>
      <c r="O57" s="141">
        <f>IF(L57=1,1,0)</f>
        <v>1</v>
      </c>
      <c r="P57" s="99"/>
      <c r="Q57" s="158"/>
      <c r="R57" s="99"/>
      <c r="S57" s="159"/>
      <c r="T57" s="159"/>
      <c r="U57" s="159"/>
      <c r="V57" s="99"/>
      <c r="W57" s="160"/>
      <c r="X57" s="160"/>
      <c r="Y57" s="99"/>
      <c r="Z57" s="99"/>
    </row>
    <row r="58" spans="2:26" ht="22" thickBot="1" x14ac:dyDescent="0.3">
      <c r="B58" s="134"/>
      <c r="C58" s="115"/>
      <c r="D58" s="136" t="s">
        <v>49</v>
      </c>
      <c r="E58" t="s">
        <v>50</v>
      </c>
      <c r="G58" s="97">
        <v>2</v>
      </c>
      <c r="H58" s="99">
        <f>IF(D57=2,1,0)</f>
        <v>0</v>
      </c>
      <c r="I58" s="99"/>
      <c r="J58" s="99">
        <f t="shared" si="0"/>
        <v>0</v>
      </c>
      <c r="K58" s="99"/>
      <c r="L58" s="126" t="s">
        <v>51</v>
      </c>
      <c r="M58" t="s">
        <v>52</v>
      </c>
      <c r="N58" s="100">
        <v>2</v>
      </c>
      <c r="O58" s="141">
        <f>IF(L57=2,1,0)</f>
        <v>0</v>
      </c>
      <c r="P58" s="99"/>
      <c r="Q58" s="92">
        <f>IF(H61+O61&gt;1,1,0)</f>
        <v>0</v>
      </c>
      <c r="R58" s="99"/>
      <c r="S58" s="159">
        <f>IF(D57&gt;1,1,0)</f>
        <v>0</v>
      </c>
      <c r="T58" s="159">
        <f>IF(L57&gt;1,1,0)</f>
        <v>0</v>
      </c>
      <c r="U58" s="159">
        <f>IF(S58+T58=2,1,0)</f>
        <v>0</v>
      </c>
      <c r="V58" s="99"/>
      <c r="W58" s="160"/>
      <c r="X58" s="160"/>
      <c r="Y58" s="99"/>
      <c r="Z58" s="99"/>
    </row>
    <row r="59" spans="2:26" ht="21" x14ac:dyDescent="0.25">
      <c r="B59" s="134"/>
      <c r="C59" s="115"/>
      <c r="D59" s="137"/>
      <c r="E59" t="s">
        <v>53</v>
      </c>
      <c r="G59" s="97">
        <v>3</v>
      </c>
      <c r="H59" s="99">
        <f>IF(D57=3,1,0)</f>
        <v>0</v>
      </c>
      <c r="I59" s="99"/>
      <c r="J59" s="99">
        <f t="shared" si="0"/>
        <v>0</v>
      </c>
      <c r="K59" s="99"/>
      <c r="L59" s="102"/>
      <c r="M59" t="s">
        <v>54</v>
      </c>
      <c r="N59" s="100">
        <v>3</v>
      </c>
      <c r="O59" s="141">
        <f>IF(L57=3,1,0)</f>
        <v>0</v>
      </c>
      <c r="P59" s="99"/>
      <c r="Q59" s="158"/>
      <c r="R59" s="99"/>
      <c r="S59" s="159"/>
      <c r="T59" s="159"/>
      <c r="U59" s="159"/>
      <c r="V59" s="99"/>
      <c r="W59" s="160"/>
      <c r="X59" s="160"/>
      <c r="Y59" s="99"/>
      <c r="Z59" s="99"/>
    </row>
    <row r="60" spans="2:26" ht="22" thickBot="1" x14ac:dyDescent="0.3">
      <c r="B60" s="138"/>
      <c r="C60" s="119"/>
      <c r="D60" s="139"/>
      <c r="E60" s="107" t="s">
        <v>55</v>
      </c>
      <c r="F60" s="107"/>
      <c r="G60" s="103">
        <v>4</v>
      </c>
      <c r="H60" s="109">
        <f>IF(D57=4,1,0)</f>
        <v>0</v>
      </c>
      <c r="I60" s="109"/>
      <c r="J60" s="109">
        <f t="shared" si="0"/>
        <v>0</v>
      </c>
      <c r="K60" s="109"/>
      <c r="L60" s="110"/>
      <c r="M60" s="107" t="s">
        <v>56</v>
      </c>
      <c r="N60" s="105">
        <v>4</v>
      </c>
      <c r="O60" s="164">
        <f>IF(L57=4,1,0)</f>
        <v>0</v>
      </c>
      <c r="P60" s="99"/>
      <c r="Q60" s="158"/>
      <c r="R60" s="99"/>
      <c r="S60" s="159"/>
      <c r="T60" s="159"/>
      <c r="U60" s="159"/>
      <c r="V60" s="99"/>
      <c r="W60" s="160"/>
      <c r="X60" s="160"/>
      <c r="Y60" s="99"/>
      <c r="Z60" s="99"/>
    </row>
    <row r="61" spans="2:26" ht="22" thickBot="1" x14ac:dyDescent="0.3">
      <c r="B61" s="121"/>
      <c r="C61" s="56"/>
      <c r="D61" s="122"/>
      <c r="G61" s="111"/>
      <c r="H61" s="99"/>
      <c r="I61" s="99"/>
      <c r="J61" s="99"/>
      <c r="K61" s="99"/>
      <c r="L61" s="113"/>
      <c r="N61" s="112"/>
      <c r="O61" s="164"/>
      <c r="P61" s="99"/>
      <c r="Q61" s="99"/>
      <c r="R61" s="99"/>
      <c r="S61" s="99"/>
      <c r="T61" s="99"/>
      <c r="U61" s="99"/>
      <c r="V61" s="99"/>
      <c r="W61" s="99"/>
      <c r="X61" s="99"/>
      <c r="Y61" s="99"/>
      <c r="Z61" s="99"/>
    </row>
    <row r="62" spans="2:26" ht="22" thickBot="1" x14ac:dyDescent="0.3">
      <c r="B62" s="84" t="s">
        <v>41</v>
      </c>
      <c r="C62" s="114" t="s">
        <v>74</v>
      </c>
      <c r="D62" s="86" t="s">
        <v>43</v>
      </c>
      <c r="E62" s="88" t="s">
        <v>44</v>
      </c>
      <c r="F62" s="88"/>
      <c r="G62" s="89">
        <v>0</v>
      </c>
      <c r="H62" s="91"/>
      <c r="I62" s="91"/>
      <c r="J62" s="91">
        <f t="shared" ref="J62:J66" si="2">G62*H62</f>
        <v>0</v>
      </c>
      <c r="K62" s="91"/>
      <c r="L62" s="140" t="s">
        <v>43</v>
      </c>
      <c r="M62" s="88"/>
      <c r="N62" s="93"/>
      <c r="O62" s="141"/>
      <c r="P62" s="99"/>
      <c r="Q62" s="99"/>
      <c r="R62" s="99"/>
      <c r="S62" s="159"/>
      <c r="T62" s="159"/>
      <c r="U62" s="159"/>
      <c r="V62" s="99"/>
      <c r="W62" s="99"/>
      <c r="X62" s="99"/>
      <c r="Y62" s="99"/>
      <c r="Z62" s="99"/>
    </row>
    <row r="63" spans="2:26" ht="30" customHeight="1" thickBot="1" x14ac:dyDescent="0.3">
      <c r="B63" s="94" t="s">
        <v>75</v>
      </c>
      <c r="C63" s="116" t="s">
        <v>76</v>
      </c>
      <c r="D63" s="60">
        <v>1</v>
      </c>
      <c r="E63" t="s">
        <v>47</v>
      </c>
      <c r="G63" s="97">
        <v>1</v>
      </c>
      <c r="H63" s="99">
        <f>IF(D63=1,1,0)</f>
        <v>1</v>
      </c>
      <c r="I63" s="99"/>
      <c r="J63" s="99">
        <f t="shared" si="2"/>
        <v>1</v>
      </c>
      <c r="K63" s="99"/>
      <c r="L63" s="60">
        <v>1</v>
      </c>
      <c r="M63" t="s">
        <v>48</v>
      </c>
      <c r="N63" s="100">
        <v>1</v>
      </c>
      <c r="O63" s="141">
        <f>IF(L63=1,1,0)</f>
        <v>1</v>
      </c>
      <c r="P63" s="99"/>
      <c r="Q63" s="99"/>
      <c r="R63" s="99"/>
      <c r="S63" s="159"/>
      <c r="T63" s="159"/>
      <c r="U63" s="159"/>
      <c r="V63" s="99"/>
      <c r="W63" s="99"/>
      <c r="X63" s="99"/>
      <c r="Y63" s="99"/>
      <c r="Z63" s="99"/>
    </row>
    <row r="64" spans="2:26" ht="21" x14ac:dyDescent="0.25">
      <c r="B64" s="94"/>
      <c r="C64" s="116" t="s">
        <v>77</v>
      </c>
      <c r="D64" s="100" t="s">
        <v>49</v>
      </c>
      <c r="E64" t="s">
        <v>50</v>
      </c>
      <c r="G64" s="97">
        <v>2</v>
      </c>
      <c r="H64" s="99">
        <f>IF(D63=2,1,0)</f>
        <v>0</v>
      </c>
      <c r="I64" s="99"/>
      <c r="J64" s="99">
        <f t="shared" si="2"/>
        <v>0</v>
      </c>
      <c r="K64" s="99"/>
      <c r="L64" s="126" t="s">
        <v>51</v>
      </c>
      <c r="M64" t="s">
        <v>52</v>
      </c>
      <c r="N64" s="100">
        <v>2</v>
      </c>
      <c r="O64" s="141">
        <f>IF(L63=2,1,0)</f>
        <v>0</v>
      </c>
      <c r="P64" s="99"/>
      <c r="Q64" s="99"/>
      <c r="R64" s="99"/>
      <c r="S64" s="159">
        <f>IF(D63&gt;1,1,0)</f>
        <v>0</v>
      </c>
      <c r="T64" s="159">
        <f>IF(L63&gt;1,1,0)</f>
        <v>0</v>
      </c>
      <c r="U64" s="159">
        <f>IF(S64+T64=2,1,0)</f>
        <v>0</v>
      </c>
      <c r="V64" s="99"/>
      <c r="W64" s="99"/>
      <c r="X64" s="99"/>
      <c r="Y64" s="99"/>
      <c r="Z64" s="99"/>
    </row>
    <row r="65" spans="2:26" ht="21" x14ac:dyDescent="0.25">
      <c r="B65" s="94"/>
      <c r="C65" s="115" t="s">
        <v>78</v>
      </c>
      <c r="D65" s="117"/>
      <c r="E65" t="s">
        <v>53</v>
      </c>
      <c r="G65" s="97">
        <v>3</v>
      </c>
      <c r="H65" s="99">
        <f>IF(D63=3,1,0)</f>
        <v>0</v>
      </c>
      <c r="I65" s="99"/>
      <c r="J65" s="99">
        <f t="shared" si="2"/>
        <v>0</v>
      </c>
      <c r="K65" s="99"/>
      <c r="L65" s="102"/>
      <c r="M65" t="s">
        <v>54</v>
      </c>
      <c r="N65" s="100">
        <v>3</v>
      </c>
      <c r="O65" s="141">
        <f>IF(L63=3,1,0)</f>
        <v>0</v>
      </c>
      <c r="P65" s="99"/>
      <c r="Q65" s="99"/>
      <c r="R65" s="99"/>
      <c r="S65" s="159"/>
      <c r="T65" s="159"/>
      <c r="U65" s="159"/>
      <c r="V65" s="99"/>
      <c r="W65" s="99"/>
      <c r="X65" s="99"/>
      <c r="Y65" s="99"/>
      <c r="Z65" s="99"/>
    </row>
    <row r="66" spans="2:26" ht="22" thickBot="1" x14ac:dyDescent="0.3">
      <c r="B66" s="118"/>
      <c r="C66" s="119"/>
      <c r="D66" s="120"/>
      <c r="E66" s="107" t="s">
        <v>55</v>
      </c>
      <c r="F66" s="107"/>
      <c r="G66" s="103">
        <v>4</v>
      </c>
      <c r="H66" s="109">
        <f>IF(D63=4,1,0)</f>
        <v>0</v>
      </c>
      <c r="I66" s="109"/>
      <c r="J66" s="109">
        <f t="shared" si="2"/>
        <v>0</v>
      </c>
      <c r="K66" s="109"/>
      <c r="L66" s="110"/>
      <c r="M66" s="107" t="s">
        <v>56</v>
      </c>
      <c r="N66" s="105">
        <v>4</v>
      </c>
      <c r="O66" s="164">
        <f>IF(L63=4,1,0)</f>
        <v>0</v>
      </c>
      <c r="P66" s="99"/>
      <c r="Q66" s="99"/>
      <c r="R66" s="99"/>
      <c r="S66" s="159"/>
      <c r="T66" s="159"/>
      <c r="U66" s="159"/>
      <c r="V66" s="99"/>
      <c r="W66" s="99"/>
      <c r="X66" s="99"/>
      <c r="Y66" s="99"/>
      <c r="Z66" s="99"/>
    </row>
    <row r="67" spans="2:26" ht="22" thickBot="1" x14ac:dyDescent="0.3">
      <c r="B67" s="121"/>
      <c r="C67" s="56"/>
      <c r="D67" s="122"/>
      <c r="G67" s="111"/>
      <c r="H67" s="98">
        <f>SUM(H57:H60)</f>
        <v>1</v>
      </c>
      <c r="I67" s="99"/>
      <c r="J67" s="99">
        <f>SUM(J57:J60)</f>
        <v>1</v>
      </c>
      <c r="K67" s="99"/>
      <c r="L67" s="113"/>
      <c r="N67" s="112"/>
      <c r="O67" s="92">
        <f>SUM(O57:O60)</f>
        <v>1</v>
      </c>
      <c r="P67" s="99"/>
      <c r="Q67" s="99"/>
      <c r="R67" s="99"/>
      <c r="S67" s="159"/>
      <c r="T67" s="159"/>
      <c r="U67" s="161">
        <f>IF(U64+U70&gt;0,1,0)</f>
        <v>0</v>
      </c>
      <c r="V67" s="99"/>
      <c r="W67" s="99"/>
      <c r="X67" s="99"/>
      <c r="Y67" s="99"/>
      <c r="Z67" s="99"/>
    </row>
    <row r="68" spans="2:26" ht="22" thickBot="1" x14ac:dyDescent="0.3">
      <c r="B68" s="84" t="s">
        <v>41</v>
      </c>
      <c r="C68" s="114" t="s">
        <v>79</v>
      </c>
      <c r="D68" s="86" t="s">
        <v>43</v>
      </c>
      <c r="E68" s="88" t="s">
        <v>44</v>
      </c>
      <c r="F68" s="88"/>
      <c r="G68" s="89">
        <v>0</v>
      </c>
      <c r="H68" s="91"/>
      <c r="I68" s="91"/>
      <c r="J68" s="91">
        <f t="shared" ref="J68:J72" si="3">G68*H68</f>
        <v>0</v>
      </c>
      <c r="K68" s="91"/>
      <c r="L68" s="140" t="s">
        <v>43</v>
      </c>
      <c r="M68" s="88"/>
      <c r="N68" s="93"/>
      <c r="O68" s="141"/>
      <c r="P68" s="99"/>
      <c r="Q68" s="99"/>
      <c r="R68" s="99"/>
      <c r="S68" s="159"/>
      <c r="T68" s="159"/>
      <c r="U68" s="159"/>
      <c r="V68" s="99"/>
      <c r="W68" s="160"/>
      <c r="X68" s="99"/>
      <c r="Y68" s="99"/>
      <c r="Z68" s="99"/>
    </row>
    <row r="69" spans="2:26" ht="30" customHeight="1" thickBot="1" x14ac:dyDescent="0.3">
      <c r="B69" s="94" t="s">
        <v>80</v>
      </c>
      <c r="C69" s="116"/>
      <c r="D69" s="60">
        <v>0</v>
      </c>
      <c r="E69" t="s">
        <v>47</v>
      </c>
      <c r="G69" s="97">
        <v>1</v>
      </c>
      <c r="H69" s="99">
        <f>IF(D69=1,1,0)</f>
        <v>0</v>
      </c>
      <c r="I69" s="99"/>
      <c r="J69" s="99">
        <f t="shared" si="3"/>
        <v>0</v>
      </c>
      <c r="K69" s="99"/>
      <c r="L69" s="60">
        <v>0</v>
      </c>
      <c r="M69" t="s">
        <v>48</v>
      </c>
      <c r="N69" s="100">
        <v>1</v>
      </c>
      <c r="O69" s="141">
        <f>IF(L69=1,1,0)</f>
        <v>0</v>
      </c>
      <c r="P69" s="99"/>
      <c r="Q69" s="99"/>
      <c r="R69" s="99"/>
      <c r="S69" s="159"/>
      <c r="T69" s="159"/>
      <c r="U69" s="159"/>
      <c r="V69" s="99"/>
      <c r="W69" s="160"/>
      <c r="X69" s="99"/>
      <c r="Y69" s="99"/>
      <c r="Z69" s="99"/>
    </row>
    <row r="70" spans="2:26" ht="21" x14ac:dyDescent="0.25">
      <c r="B70" s="94"/>
      <c r="C70" s="116"/>
      <c r="D70" s="100" t="s">
        <v>49</v>
      </c>
      <c r="E70" t="s">
        <v>50</v>
      </c>
      <c r="G70" s="97">
        <v>2</v>
      </c>
      <c r="H70" s="99">
        <f>IF(D69=2,1,0)</f>
        <v>0</v>
      </c>
      <c r="I70" s="99"/>
      <c r="J70" s="99">
        <f t="shared" si="3"/>
        <v>0</v>
      </c>
      <c r="K70" s="99"/>
      <c r="L70" s="126" t="s">
        <v>51</v>
      </c>
      <c r="M70" t="s">
        <v>52</v>
      </c>
      <c r="N70" s="100">
        <v>2</v>
      </c>
      <c r="O70" s="141">
        <f>IF(L69=2,1,0)</f>
        <v>0</v>
      </c>
      <c r="P70" s="99"/>
      <c r="Q70" s="99"/>
      <c r="R70" s="99"/>
      <c r="S70" s="159">
        <f>IF(D69&gt;1,1,0)</f>
        <v>0</v>
      </c>
      <c r="T70" s="159">
        <f>IF(L69&gt;1,1,0)</f>
        <v>0</v>
      </c>
      <c r="U70" s="159">
        <f>IF(S70+T70=2,1,0)</f>
        <v>0</v>
      </c>
      <c r="V70" s="99"/>
      <c r="W70" s="160">
        <f>U70</f>
        <v>0</v>
      </c>
      <c r="X70" s="99"/>
      <c r="Y70" s="99"/>
      <c r="Z70" s="99"/>
    </row>
    <row r="71" spans="2:26" ht="21" x14ac:dyDescent="0.25">
      <c r="B71" s="94"/>
      <c r="C71" s="115"/>
      <c r="D71" s="117"/>
      <c r="E71" t="s">
        <v>53</v>
      </c>
      <c r="G71" s="97">
        <v>3</v>
      </c>
      <c r="H71" s="99">
        <f>IF(D69=3,1,0)</f>
        <v>0</v>
      </c>
      <c r="I71" s="99"/>
      <c r="J71" s="99">
        <f t="shared" si="3"/>
        <v>0</v>
      </c>
      <c r="K71" s="99"/>
      <c r="L71" s="102"/>
      <c r="M71" t="s">
        <v>54</v>
      </c>
      <c r="N71" s="100">
        <v>3</v>
      </c>
      <c r="O71" s="141">
        <f>IF(L69=3,1,0)</f>
        <v>0</v>
      </c>
      <c r="P71" s="99"/>
      <c r="Q71" s="99"/>
      <c r="R71" s="99"/>
      <c r="S71" s="159"/>
      <c r="T71" s="159"/>
      <c r="U71" s="159"/>
      <c r="V71" s="99"/>
      <c r="W71" s="160"/>
      <c r="X71" s="99"/>
      <c r="Y71" s="99"/>
      <c r="Z71" s="99"/>
    </row>
    <row r="72" spans="2:26" ht="22" thickBot="1" x14ac:dyDescent="0.3">
      <c r="B72" s="118"/>
      <c r="C72" s="119"/>
      <c r="D72" s="120"/>
      <c r="E72" s="107" t="s">
        <v>55</v>
      </c>
      <c r="F72" s="107"/>
      <c r="G72" s="103">
        <v>4</v>
      </c>
      <c r="H72" s="109">
        <f>IF(D69=4,1,0)</f>
        <v>0</v>
      </c>
      <c r="I72" s="109"/>
      <c r="J72" s="109">
        <f t="shared" si="3"/>
        <v>0</v>
      </c>
      <c r="K72" s="109"/>
      <c r="L72" s="110"/>
      <c r="M72" s="107" t="s">
        <v>56</v>
      </c>
      <c r="N72" s="105">
        <v>4</v>
      </c>
      <c r="O72" s="164">
        <f>IF(L69=4,1,0)</f>
        <v>0</v>
      </c>
      <c r="P72" s="99"/>
      <c r="Q72" s="99"/>
      <c r="R72" s="99"/>
      <c r="S72" s="159"/>
      <c r="T72" s="159"/>
      <c r="U72" s="159"/>
      <c r="V72" s="99"/>
      <c r="W72" s="160"/>
      <c r="X72" s="99"/>
      <c r="Y72" s="99"/>
      <c r="Z72" s="99"/>
    </row>
    <row r="73" spans="2:26" ht="22" thickBot="1" x14ac:dyDescent="0.3">
      <c r="B73" s="121"/>
      <c r="C73" s="56"/>
      <c r="D73" s="122"/>
      <c r="G73" s="111"/>
      <c r="H73" s="99"/>
      <c r="I73" s="99"/>
      <c r="J73" s="99"/>
      <c r="K73" s="99"/>
      <c r="L73" s="113"/>
      <c r="N73" s="112"/>
      <c r="O73" s="141"/>
      <c r="P73" s="99"/>
      <c r="Q73" s="99"/>
      <c r="R73" s="99"/>
      <c r="S73" s="99"/>
      <c r="T73" s="99"/>
      <c r="U73" s="99"/>
      <c r="V73" s="99"/>
      <c r="W73" s="99"/>
      <c r="X73" s="99"/>
      <c r="Y73" s="99"/>
      <c r="Z73" s="99"/>
    </row>
    <row r="74" spans="2:26" ht="22" thickBot="1" x14ac:dyDescent="0.3">
      <c r="B74" s="84" t="s">
        <v>81</v>
      </c>
      <c r="C74" s="114" t="s">
        <v>82</v>
      </c>
      <c r="D74" s="86" t="s">
        <v>43</v>
      </c>
      <c r="E74" s="88" t="s">
        <v>44</v>
      </c>
      <c r="F74" s="88"/>
      <c r="G74" s="89">
        <v>0</v>
      </c>
      <c r="H74" s="91"/>
      <c r="I74" s="91"/>
      <c r="J74" s="91">
        <f t="shared" si="0"/>
        <v>0</v>
      </c>
      <c r="K74" s="91"/>
      <c r="L74" s="140" t="s">
        <v>43</v>
      </c>
      <c r="M74" s="88"/>
      <c r="N74" s="93"/>
      <c r="O74" s="141"/>
      <c r="P74" s="99"/>
      <c r="Q74" s="99"/>
      <c r="R74" s="99"/>
      <c r="S74" s="159"/>
      <c r="T74" s="159"/>
      <c r="U74" s="159"/>
      <c r="V74" s="99"/>
      <c r="W74" s="99"/>
      <c r="X74" s="99"/>
      <c r="Y74" s="99"/>
      <c r="Z74" s="99"/>
    </row>
    <row r="75" spans="2:26" ht="30" customHeight="1" thickBot="1" x14ac:dyDescent="0.3">
      <c r="B75" s="94" t="s">
        <v>45</v>
      </c>
      <c r="C75" s="115" t="s">
        <v>78</v>
      </c>
      <c r="D75" s="60">
        <v>1</v>
      </c>
      <c r="E75" t="s">
        <v>47</v>
      </c>
      <c r="G75" s="97">
        <v>1</v>
      </c>
      <c r="H75" s="99">
        <f>IF(D75=1,1,0)</f>
        <v>1</v>
      </c>
      <c r="I75" s="99"/>
      <c r="J75" s="99">
        <f t="shared" si="0"/>
        <v>1</v>
      </c>
      <c r="K75" s="99"/>
      <c r="L75" s="60">
        <v>2</v>
      </c>
      <c r="M75" t="s">
        <v>48</v>
      </c>
      <c r="N75" s="100">
        <v>1</v>
      </c>
      <c r="O75" s="141">
        <f>IF(L75=1,1,0)</f>
        <v>0</v>
      </c>
      <c r="P75" s="99"/>
      <c r="Q75" s="99"/>
      <c r="R75" s="99"/>
      <c r="S75" s="159"/>
      <c r="T75" s="159"/>
      <c r="U75" s="159"/>
      <c r="V75" s="99"/>
      <c r="W75" s="99"/>
      <c r="X75" s="99"/>
      <c r="Y75" s="99"/>
      <c r="Z75" s="99"/>
    </row>
    <row r="76" spans="2:26" ht="21" x14ac:dyDescent="0.25">
      <c r="B76" s="94"/>
      <c r="C76" s="115"/>
      <c r="D76" s="100" t="s">
        <v>49</v>
      </c>
      <c r="E76" t="s">
        <v>50</v>
      </c>
      <c r="G76" s="97">
        <v>2</v>
      </c>
      <c r="H76" s="99">
        <f>IF(D75=2,1,0)</f>
        <v>0</v>
      </c>
      <c r="I76" s="99"/>
      <c r="J76" s="99">
        <f t="shared" si="0"/>
        <v>0</v>
      </c>
      <c r="K76" s="99"/>
      <c r="L76" s="126" t="s">
        <v>51</v>
      </c>
      <c r="M76" t="s">
        <v>52</v>
      </c>
      <c r="N76" s="100">
        <v>2</v>
      </c>
      <c r="O76" s="141">
        <f>IF(L75=2,1,0)</f>
        <v>1</v>
      </c>
      <c r="P76" s="99"/>
      <c r="Q76" s="99"/>
      <c r="R76" s="99"/>
      <c r="S76" s="159">
        <f>IF(D75&gt;1,1,0)</f>
        <v>0</v>
      </c>
      <c r="T76" s="159">
        <f>IF(L75&gt;1,1,0)</f>
        <v>1</v>
      </c>
      <c r="U76" s="159">
        <f>IF(S76+T76=2,1,0)</f>
        <v>0</v>
      </c>
      <c r="V76" s="99"/>
      <c r="W76" s="99"/>
      <c r="X76" s="99"/>
      <c r="Y76" s="99"/>
      <c r="Z76" s="99"/>
    </row>
    <row r="77" spans="2:26" ht="21" x14ac:dyDescent="0.25">
      <c r="B77" s="94"/>
      <c r="C77" s="115"/>
      <c r="D77" s="117"/>
      <c r="E77" t="s">
        <v>53</v>
      </c>
      <c r="G77" s="97">
        <v>3</v>
      </c>
      <c r="H77" s="99">
        <f>IF(D75=3,1,0)</f>
        <v>0</v>
      </c>
      <c r="I77" s="99"/>
      <c r="J77" s="99">
        <f t="shared" si="0"/>
        <v>0</v>
      </c>
      <c r="K77" s="99"/>
      <c r="L77" s="102"/>
      <c r="M77" t="s">
        <v>54</v>
      </c>
      <c r="N77" s="100">
        <v>3</v>
      </c>
      <c r="O77" s="141">
        <f>IF(L75=3,1,0)</f>
        <v>0</v>
      </c>
      <c r="P77" s="99"/>
      <c r="Q77" s="99"/>
      <c r="R77" s="99"/>
      <c r="S77" s="159"/>
      <c r="T77" s="159"/>
      <c r="U77" s="159"/>
      <c r="V77" s="99"/>
      <c r="W77" s="99"/>
      <c r="X77" s="99"/>
      <c r="Y77" s="99"/>
      <c r="Z77" s="99"/>
    </row>
    <row r="78" spans="2:26" ht="22" thickBot="1" x14ac:dyDescent="0.3">
      <c r="B78" s="118"/>
      <c r="C78" s="119"/>
      <c r="D78" s="120"/>
      <c r="E78" s="107" t="s">
        <v>55</v>
      </c>
      <c r="F78" s="107"/>
      <c r="G78" s="103">
        <v>4</v>
      </c>
      <c r="H78" s="109">
        <f>IF(D75=4,1,0)</f>
        <v>0</v>
      </c>
      <c r="I78" s="109"/>
      <c r="J78" s="109">
        <f t="shared" si="0"/>
        <v>0</v>
      </c>
      <c r="K78" s="109"/>
      <c r="L78" s="110"/>
      <c r="M78" s="107" t="s">
        <v>56</v>
      </c>
      <c r="N78" s="105">
        <v>4</v>
      </c>
      <c r="O78" s="164">
        <f>IF(L75=4,1,0)</f>
        <v>0</v>
      </c>
      <c r="P78" s="99"/>
      <c r="Q78" s="99"/>
      <c r="R78" s="99"/>
      <c r="S78" s="159"/>
      <c r="T78" s="159"/>
      <c r="U78" s="159"/>
      <c r="V78" s="99"/>
      <c r="W78" s="99"/>
      <c r="X78" s="99"/>
      <c r="Y78" s="99"/>
      <c r="Z78" s="99"/>
    </row>
    <row r="79" spans="2:26" ht="22" thickBot="1" x14ac:dyDescent="0.3">
      <c r="B79" s="121"/>
      <c r="C79" s="56"/>
      <c r="D79" s="122"/>
      <c r="G79" s="111"/>
      <c r="H79" s="98">
        <f>SUM(H75:H78)</f>
        <v>1</v>
      </c>
      <c r="I79" s="99"/>
      <c r="J79" s="99">
        <f>SUM(J75:J78)</f>
        <v>1</v>
      </c>
      <c r="K79" s="99"/>
      <c r="L79" s="113"/>
      <c r="N79" s="112"/>
      <c r="O79" s="92">
        <f>SUM(O75:O78)</f>
        <v>1</v>
      </c>
      <c r="P79" s="99"/>
      <c r="Q79" s="99"/>
      <c r="R79" s="99"/>
      <c r="S79" s="159"/>
      <c r="T79" s="159"/>
      <c r="U79" s="161">
        <f>IF(U76+U82&gt;0,1,0)</f>
        <v>0</v>
      </c>
      <c r="V79" s="99"/>
      <c r="W79" s="99"/>
      <c r="X79" s="99"/>
      <c r="Y79" s="99"/>
      <c r="Z79" s="99"/>
    </row>
    <row r="80" spans="2:26" ht="22" thickBot="1" x14ac:dyDescent="0.3">
      <c r="B80" s="84" t="s">
        <v>81</v>
      </c>
      <c r="C80" s="114" t="s">
        <v>83</v>
      </c>
      <c r="D80" s="86" t="s">
        <v>43</v>
      </c>
      <c r="E80" s="88" t="s">
        <v>44</v>
      </c>
      <c r="F80" s="88"/>
      <c r="G80" s="89">
        <v>0</v>
      </c>
      <c r="H80" s="91"/>
      <c r="I80" s="91"/>
      <c r="J80" s="91">
        <f t="shared" si="0"/>
        <v>0</v>
      </c>
      <c r="K80" s="91"/>
      <c r="L80" s="86" t="s">
        <v>43</v>
      </c>
      <c r="M80" s="88"/>
      <c r="N80" s="93"/>
      <c r="O80" s="141"/>
      <c r="P80" s="99"/>
      <c r="Q80" s="99"/>
      <c r="R80" s="99"/>
      <c r="S80" s="159"/>
      <c r="T80" s="159"/>
      <c r="U80" s="159"/>
      <c r="V80" s="99"/>
      <c r="W80" s="99"/>
      <c r="X80" s="99"/>
      <c r="Y80" s="99"/>
      <c r="Z80" s="99"/>
    </row>
    <row r="81" spans="2:26" ht="30" customHeight="1" thickBot="1" x14ac:dyDescent="0.3">
      <c r="B81" s="94" t="s">
        <v>58</v>
      </c>
      <c r="C81" s="115" t="s">
        <v>84</v>
      </c>
      <c r="D81" s="60">
        <v>0</v>
      </c>
      <c r="E81" t="s">
        <v>47</v>
      </c>
      <c r="G81" s="97">
        <v>1</v>
      </c>
      <c r="H81" s="99">
        <f>IF(D81=1,1,0)</f>
        <v>0</v>
      </c>
      <c r="I81" s="99"/>
      <c r="J81" s="99">
        <f t="shared" si="0"/>
        <v>0</v>
      </c>
      <c r="K81" s="99"/>
      <c r="L81" s="60">
        <v>0</v>
      </c>
      <c r="M81" t="s">
        <v>48</v>
      </c>
      <c r="N81" s="100">
        <v>1</v>
      </c>
      <c r="O81" s="141">
        <f>IF(L81=1,1,0)</f>
        <v>0</v>
      </c>
      <c r="P81" s="99"/>
      <c r="Q81" s="99"/>
      <c r="R81" s="99"/>
      <c r="S81" s="159"/>
      <c r="T81" s="159"/>
      <c r="U81" s="159"/>
      <c r="V81" s="99"/>
      <c r="W81" s="99"/>
      <c r="X81" s="99"/>
      <c r="Y81" s="99"/>
      <c r="Z81" s="99"/>
    </row>
    <row r="82" spans="2:26" ht="21" x14ac:dyDescent="0.25">
      <c r="B82" s="94"/>
      <c r="C82" s="115"/>
      <c r="D82" s="100" t="s">
        <v>49</v>
      </c>
      <c r="E82" t="s">
        <v>50</v>
      </c>
      <c r="G82" s="97">
        <v>2</v>
      </c>
      <c r="H82" s="99">
        <f>IF(D81=2,1,0)</f>
        <v>0</v>
      </c>
      <c r="I82" s="99"/>
      <c r="J82" s="99">
        <f t="shared" si="0"/>
        <v>0</v>
      </c>
      <c r="K82" s="99"/>
      <c r="L82" s="126" t="s">
        <v>51</v>
      </c>
      <c r="M82" t="s">
        <v>52</v>
      </c>
      <c r="N82" s="100">
        <v>2</v>
      </c>
      <c r="O82" s="141">
        <f>IF(L81=2,1,0)</f>
        <v>0</v>
      </c>
      <c r="P82" s="99"/>
      <c r="Q82" s="99"/>
      <c r="R82" s="99"/>
      <c r="S82" s="159">
        <f>IF(D81&gt;1,1,0)</f>
        <v>0</v>
      </c>
      <c r="T82" s="159">
        <f>IF(L81&gt;1,1,0)</f>
        <v>0</v>
      </c>
      <c r="U82" s="159">
        <f>IF(S82+T82=2,1,0)</f>
        <v>0</v>
      </c>
      <c r="V82" s="99"/>
      <c r="W82" s="99"/>
      <c r="X82" s="99"/>
      <c r="Y82" s="99"/>
      <c r="Z82" s="99"/>
    </row>
    <row r="83" spans="2:26" ht="21" x14ac:dyDescent="0.25">
      <c r="B83" s="94"/>
      <c r="C83" s="115"/>
      <c r="D83" s="117"/>
      <c r="E83" t="s">
        <v>53</v>
      </c>
      <c r="G83" s="97">
        <v>3</v>
      </c>
      <c r="H83" s="99">
        <f>IF(D81=3,1,0)</f>
        <v>0</v>
      </c>
      <c r="I83" s="99"/>
      <c r="J83" s="99">
        <f t="shared" si="0"/>
        <v>0</v>
      </c>
      <c r="K83" s="99"/>
      <c r="L83" s="102"/>
      <c r="M83" t="s">
        <v>54</v>
      </c>
      <c r="N83" s="100">
        <v>3</v>
      </c>
      <c r="O83" s="141">
        <f>IF(L81=3,1,0)</f>
        <v>0</v>
      </c>
      <c r="P83" s="99"/>
      <c r="Q83" s="99"/>
      <c r="R83" s="99"/>
      <c r="S83" s="159"/>
      <c r="T83" s="159"/>
      <c r="U83" s="159"/>
      <c r="V83" s="99"/>
      <c r="W83" s="99"/>
      <c r="X83" s="99"/>
      <c r="Y83" s="99"/>
      <c r="Z83" s="99"/>
    </row>
    <row r="84" spans="2:26" ht="22" thickBot="1" x14ac:dyDescent="0.3">
      <c r="B84" s="118"/>
      <c r="C84" s="119"/>
      <c r="D84" s="120"/>
      <c r="E84" s="107" t="s">
        <v>55</v>
      </c>
      <c r="F84" s="107"/>
      <c r="G84" s="103">
        <v>4</v>
      </c>
      <c r="H84" s="109">
        <f>IF(D81=4,1,0)</f>
        <v>0</v>
      </c>
      <c r="I84" s="109"/>
      <c r="J84" s="109">
        <f t="shared" si="0"/>
        <v>0</v>
      </c>
      <c r="K84" s="109"/>
      <c r="L84" s="110"/>
      <c r="M84" s="107" t="s">
        <v>56</v>
      </c>
      <c r="N84" s="105">
        <v>4</v>
      </c>
      <c r="O84" s="164">
        <f>IF(L81=4,1,0)</f>
        <v>0</v>
      </c>
      <c r="P84" s="99"/>
      <c r="Q84" s="99"/>
      <c r="R84" s="99"/>
      <c r="S84" s="159"/>
      <c r="T84" s="159"/>
      <c r="U84" s="159"/>
      <c r="V84" s="99"/>
      <c r="W84" s="99"/>
      <c r="X84" s="99"/>
      <c r="Y84" s="99"/>
      <c r="Z84" s="99"/>
    </row>
    <row r="85" spans="2:26" ht="22" thickBot="1" x14ac:dyDescent="0.3">
      <c r="B85" s="121"/>
      <c r="C85" s="56"/>
      <c r="D85" s="122"/>
      <c r="G85" s="97"/>
      <c r="H85" s="141">
        <f>SUM(H81:H84)</f>
        <v>0</v>
      </c>
      <c r="I85" s="99"/>
      <c r="J85" s="99">
        <f>SUM(J81:J84)</f>
        <v>0</v>
      </c>
      <c r="K85" s="99"/>
      <c r="L85" s="113"/>
      <c r="N85" s="112"/>
      <c r="O85" s="92">
        <f>SUM(O81:O84)</f>
        <v>0</v>
      </c>
      <c r="P85" s="99"/>
      <c r="Q85" s="99"/>
      <c r="R85" s="99"/>
      <c r="S85" s="99"/>
      <c r="T85" s="99"/>
      <c r="U85" s="99"/>
      <c r="V85" s="99"/>
      <c r="W85" s="99"/>
      <c r="X85" s="99"/>
      <c r="Y85" s="99"/>
      <c r="Z85" s="99"/>
    </row>
    <row r="86" spans="2:26" ht="30" customHeight="1" thickBot="1" x14ac:dyDescent="0.3">
      <c r="B86" s="84" t="s">
        <v>81</v>
      </c>
      <c r="C86" s="85" t="s">
        <v>85</v>
      </c>
      <c r="D86" s="86" t="s">
        <v>43</v>
      </c>
      <c r="E86" s="88" t="s">
        <v>44</v>
      </c>
      <c r="F86" s="88"/>
      <c r="G86" s="89">
        <v>0</v>
      </c>
      <c r="H86" s="91"/>
      <c r="I86" s="91"/>
      <c r="J86" s="91">
        <f t="shared" si="0"/>
        <v>0</v>
      </c>
      <c r="K86" s="91"/>
      <c r="L86" s="86" t="s">
        <v>43</v>
      </c>
      <c r="M86" s="88"/>
      <c r="N86" s="93"/>
      <c r="O86" s="141"/>
      <c r="P86" s="99"/>
      <c r="Q86" s="158"/>
      <c r="R86" s="99"/>
      <c r="S86" s="159"/>
      <c r="T86" s="159"/>
      <c r="U86" s="159"/>
      <c r="V86" s="99"/>
      <c r="W86" s="99"/>
      <c r="X86" s="99"/>
      <c r="Y86" s="99"/>
      <c r="Z86" s="99"/>
    </row>
    <row r="87" spans="2:26" ht="30" customHeight="1" thickBot="1" x14ac:dyDescent="0.3">
      <c r="B87" s="94" t="s">
        <v>61</v>
      </c>
      <c r="C87" s="56" t="s">
        <v>86</v>
      </c>
      <c r="D87" s="60">
        <v>0</v>
      </c>
      <c r="E87" t="s">
        <v>47</v>
      </c>
      <c r="G87" s="97">
        <v>1</v>
      </c>
      <c r="H87" s="99">
        <f>IF(D87=1,1,0)</f>
        <v>0</v>
      </c>
      <c r="I87" s="99"/>
      <c r="J87" s="99">
        <f t="shared" si="0"/>
        <v>0</v>
      </c>
      <c r="K87" s="99"/>
      <c r="L87" s="60">
        <v>0</v>
      </c>
      <c r="M87" t="s">
        <v>48</v>
      </c>
      <c r="N87" s="100">
        <v>1</v>
      </c>
      <c r="O87" s="141">
        <f>IF(L87=1,1,0)</f>
        <v>0</v>
      </c>
      <c r="P87" s="99"/>
      <c r="Q87" s="158"/>
      <c r="R87" s="99"/>
      <c r="S87" s="159"/>
      <c r="T87" s="159"/>
      <c r="U87" s="159"/>
      <c r="V87" s="99"/>
      <c r="W87" s="99"/>
      <c r="X87" s="99"/>
      <c r="Y87" s="99"/>
      <c r="Z87" s="99"/>
    </row>
    <row r="88" spans="2:26" ht="22" thickBot="1" x14ac:dyDescent="0.3">
      <c r="B88" s="94"/>
      <c r="C88" s="56"/>
      <c r="D88" s="100" t="s">
        <v>49</v>
      </c>
      <c r="E88" t="s">
        <v>50</v>
      </c>
      <c r="G88" s="97">
        <v>2</v>
      </c>
      <c r="H88" s="99">
        <f>IF(D87=2,1,0)</f>
        <v>0</v>
      </c>
      <c r="I88" s="99"/>
      <c r="J88" s="99">
        <f t="shared" si="0"/>
        <v>0</v>
      </c>
      <c r="K88" s="99"/>
      <c r="L88" s="126" t="s">
        <v>51</v>
      </c>
      <c r="M88" t="s">
        <v>52</v>
      </c>
      <c r="N88" s="100">
        <v>2</v>
      </c>
      <c r="O88" s="141">
        <f>IF(L87=2,1,0)</f>
        <v>0</v>
      </c>
      <c r="P88" s="99"/>
      <c r="Q88" s="161">
        <f>IF(H91+O91&gt;1,1,0)</f>
        <v>0</v>
      </c>
      <c r="R88" s="99"/>
      <c r="S88" s="159">
        <f>IF(D87&gt;1,1,0)</f>
        <v>0</v>
      </c>
      <c r="T88" s="159">
        <f>IF(L87&gt;1,1,0)</f>
        <v>0</v>
      </c>
      <c r="U88" s="159">
        <f>IF(S88+T88=2,1,0)</f>
        <v>0</v>
      </c>
      <c r="V88" s="99"/>
      <c r="W88" s="99"/>
      <c r="X88" s="99"/>
      <c r="Y88" s="99"/>
      <c r="Z88" s="99"/>
    </row>
    <row r="89" spans="2:26" ht="21" x14ac:dyDescent="0.25">
      <c r="B89" s="94"/>
      <c r="C89" s="56"/>
      <c r="D89" s="117"/>
      <c r="E89" t="s">
        <v>53</v>
      </c>
      <c r="G89" s="97">
        <v>3</v>
      </c>
      <c r="H89" s="99">
        <f>IF(D87=3,1,0)</f>
        <v>0</v>
      </c>
      <c r="I89" s="99"/>
      <c r="J89" s="99">
        <f t="shared" si="0"/>
        <v>0</v>
      </c>
      <c r="K89" s="99"/>
      <c r="L89" s="102"/>
      <c r="M89" t="s">
        <v>54</v>
      </c>
      <c r="N89" s="100">
        <v>3</v>
      </c>
      <c r="O89" s="141">
        <f>IF(L87=3,1,0)</f>
        <v>0</v>
      </c>
      <c r="P89" s="99"/>
      <c r="Q89" s="158"/>
      <c r="R89" s="99"/>
      <c r="S89" s="159"/>
      <c r="T89" s="159"/>
      <c r="U89" s="159"/>
      <c r="V89" s="99"/>
      <c r="W89" s="99"/>
      <c r="X89" s="99"/>
      <c r="Y89" s="99"/>
      <c r="Z89" s="99"/>
    </row>
    <row r="90" spans="2:26" ht="22" thickBot="1" x14ac:dyDescent="0.3">
      <c r="B90" s="118"/>
      <c r="C90" s="127"/>
      <c r="D90" s="120"/>
      <c r="E90" s="107" t="s">
        <v>55</v>
      </c>
      <c r="F90" s="107"/>
      <c r="G90" s="103">
        <v>4</v>
      </c>
      <c r="H90" s="109">
        <f>IF(D87=4,1,0)</f>
        <v>0</v>
      </c>
      <c r="I90" s="109"/>
      <c r="J90" s="109">
        <f t="shared" si="0"/>
        <v>0</v>
      </c>
      <c r="K90" s="109"/>
      <c r="L90" s="110"/>
      <c r="M90" s="107" t="s">
        <v>56</v>
      </c>
      <c r="N90" s="105">
        <v>4</v>
      </c>
      <c r="O90" s="164">
        <f>IF(L87=4,1,0)</f>
        <v>0</v>
      </c>
      <c r="P90" s="99"/>
      <c r="Q90" s="158"/>
      <c r="R90" s="99"/>
      <c r="S90" s="159"/>
      <c r="T90" s="159"/>
      <c r="U90" s="159"/>
      <c r="V90" s="99"/>
      <c r="W90" s="99"/>
      <c r="X90" s="99"/>
      <c r="Y90" s="99"/>
      <c r="Z90" s="99"/>
    </row>
    <row r="91" spans="2:26" ht="22" thickBot="1" x14ac:dyDescent="0.3">
      <c r="B91" s="121"/>
      <c r="C91" s="64"/>
      <c r="D91" s="63"/>
      <c r="G91" s="111"/>
      <c r="H91" s="108">
        <f>SUM(H87:H90)</f>
        <v>0</v>
      </c>
      <c r="I91" s="99"/>
      <c r="J91" s="99">
        <f>SUM(J87:J90)</f>
        <v>0</v>
      </c>
      <c r="K91" s="99"/>
      <c r="L91" s="99"/>
      <c r="N91" s="112"/>
      <c r="O91" s="92">
        <f>SUM(O87:O90)</f>
        <v>0</v>
      </c>
      <c r="P91" s="99"/>
      <c r="Q91" s="99"/>
      <c r="R91" s="99"/>
      <c r="S91" s="159"/>
      <c r="T91" s="159"/>
      <c r="U91" s="161">
        <f>IF(U88+U94&gt;0,1,0)</f>
        <v>0</v>
      </c>
      <c r="V91" s="99"/>
      <c r="W91" s="99"/>
      <c r="X91" s="99"/>
      <c r="Y91" s="99"/>
      <c r="Z91" s="99"/>
    </row>
    <row r="92" spans="2:26" ht="22" thickBot="1" x14ac:dyDescent="0.3">
      <c r="B92" s="84" t="s">
        <v>81</v>
      </c>
      <c r="C92" s="114" t="s">
        <v>87</v>
      </c>
      <c r="D92" s="86" t="s">
        <v>43</v>
      </c>
      <c r="E92" s="88" t="s">
        <v>44</v>
      </c>
      <c r="F92" s="88"/>
      <c r="G92" s="89">
        <v>0</v>
      </c>
      <c r="H92" s="91"/>
      <c r="I92" s="91"/>
      <c r="J92" s="91">
        <f t="shared" ref="J92:J96" si="4">G92*H92</f>
        <v>0</v>
      </c>
      <c r="K92" s="91"/>
      <c r="L92" s="86" t="s">
        <v>43</v>
      </c>
      <c r="M92" s="88"/>
      <c r="N92" s="93"/>
      <c r="O92" s="141"/>
      <c r="P92" s="99"/>
      <c r="Q92" s="99"/>
      <c r="R92" s="99"/>
      <c r="S92" s="159"/>
      <c r="T92" s="159"/>
      <c r="U92" s="159"/>
      <c r="V92" s="99"/>
      <c r="W92" s="99"/>
      <c r="X92" s="99"/>
      <c r="Y92" s="99"/>
      <c r="Z92" s="99"/>
    </row>
    <row r="93" spans="2:26" ht="30" customHeight="1" thickBot="1" x14ac:dyDescent="0.3">
      <c r="B93" s="94" t="s">
        <v>63</v>
      </c>
      <c r="C93" s="116" t="s">
        <v>88</v>
      </c>
      <c r="D93" s="60">
        <v>0</v>
      </c>
      <c r="E93" t="s">
        <v>47</v>
      </c>
      <c r="G93" s="97">
        <v>1</v>
      </c>
      <c r="H93" s="99">
        <f>IF(D93=1,1,0)</f>
        <v>0</v>
      </c>
      <c r="I93" s="99"/>
      <c r="J93" s="99">
        <f t="shared" si="4"/>
        <v>0</v>
      </c>
      <c r="K93" s="99"/>
      <c r="L93" s="60">
        <v>0</v>
      </c>
      <c r="M93" t="s">
        <v>48</v>
      </c>
      <c r="N93" s="100">
        <v>1</v>
      </c>
      <c r="O93" s="141">
        <f>IF(L93=1,1,0)</f>
        <v>0</v>
      </c>
      <c r="P93" s="99"/>
      <c r="Q93" s="99"/>
      <c r="R93" s="99"/>
      <c r="S93" s="159"/>
      <c r="T93" s="159"/>
      <c r="U93" s="159"/>
      <c r="V93" s="99"/>
      <c r="W93" s="99"/>
      <c r="X93" s="99"/>
      <c r="Y93" s="99"/>
      <c r="Z93" s="99"/>
    </row>
    <row r="94" spans="2:26" ht="21" x14ac:dyDescent="0.25">
      <c r="B94" s="94"/>
      <c r="C94" s="115"/>
      <c r="D94" s="100" t="s">
        <v>49</v>
      </c>
      <c r="E94" t="s">
        <v>50</v>
      </c>
      <c r="G94" s="97">
        <v>2</v>
      </c>
      <c r="H94" s="99">
        <f>IF(D93=2,1,0)</f>
        <v>0</v>
      </c>
      <c r="I94" s="99"/>
      <c r="J94" s="99">
        <f t="shared" si="4"/>
        <v>0</v>
      </c>
      <c r="K94" s="99"/>
      <c r="L94" s="126" t="s">
        <v>51</v>
      </c>
      <c r="M94" t="s">
        <v>52</v>
      </c>
      <c r="N94" s="100">
        <v>2</v>
      </c>
      <c r="O94" s="141">
        <f>IF(L93=2,1,0)</f>
        <v>0</v>
      </c>
      <c r="P94" s="99"/>
      <c r="Q94" s="99"/>
      <c r="R94" s="99"/>
      <c r="S94" s="159">
        <f>IF(D93&gt;1,1,0)</f>
        <v>0</v>
      </c>
      <c r="T94" s="159">
        <f>IF(L93&gt;1,1,0)</f>
        <v>0</v>
      </c>
      <c r="U94" s="159">
        <f>IF(S94+T94=2,1,0)</f>
        <v>0</v>
      </c>
      <c r="V94" s="99"/>
      <c r="W94" s="99"/>
      <c r="X94" s="99"/>
      <c r="Y94" s="99"/>
      <c r="Z94" s="99"/>
    </row>
    <row r="95" spans="2:26" ht="21" x14ac:dyDescent="0.25">
      <c r="B95" s="94"/>
      <c r="C95" s="115"/>
      <c r="D95" s="117"/>
      <c r="E95" t="s">
        <v>53</v>
      </c>
      <c r="G95" s="97">
        <v>3</v>
      </c>
      <c r="H95" s="99">
        <f>IF(D93=3,1,0)</f>
        <v>0</v>
      </c>
      <c r="I95" s="99"/>
      <c r="J95" s="99">
        <f t="shared" si="4"/>
        <v>0</v>
      </c>
      <c r="K95" s="99"/>
      <c r="L95" s="102"/>
      <c r="M95" t="s">
        <v>54</v>
      </c>
      <c r="N95" s="100">
        <v>3</v>
      </c>
      <c r="O95" s="141">
        <f>IF(L93=3,1,0)</f>
        <v>0</v>
      </c>
      <c r="P95" s="99"/>
      <c r="Q95" s="99"/>
      <c r="R95" s="99"/>
      <c r="S95" s="159"/>
      <c r="T95" s="159"/>
      <c r="U95" s="159"/>
      <c r="V95" s="99"/>
      <c r="W95" s="99"/>
      <c r="X95" s="99"/>
      <c r="Y95" s="99"/>
      <c r="Z95" s="99"/>
    </row>
    <row r="96" spans="2:26" ht="22" thickBot="1" x14ac:dyDescent="0.3">
      <c r="B96" s="118"/>
      <c r="C96" s="119"/>
      <c r="D96" s="120"/>
      <c r="E96" s="107" t="s">
        <v>55</v>
      </c>
      <c r="F96" s="107"/>
      <c r="G96" s="103">
        <v>4</v>
      </c>
      <c r="H96" s="109">
        <f>IF(D93=4,1,0)</f>
        <v>0</v>
      </c>
      <c r="I96" s="109"/>
      <c r="J96" s="109">
        <f t="shared" si="4"/>
        <v>0</v>
      </c>
      <c r="K96" s="109"/>
      <c r="L96" s="110"/>
      <c r="M96" s="107" t="s">
        <v>56</v>
      </c>
      <c r="N96" s="105">
        <v>4</v>
      </c>
      <c r="O96" s="164">
        <f>IF(L93=4,1,0)</f>
        <v>0</v>
      </c>
      <c r="P96" s="99"/>
      <c r="Q96" s="99"/>
      <c r="R96" s="99"/>
      <c r="S96" s="159"/>
      <c r="T96" s="159"/>
      <c r="U96" s="159"/>
      <c r="V96" s="99"/>
      <c r="W96" s="99"/>
      <c r="X96" s="99"/>
      <c r="Y96" s="99"/>
      <c r="Z96" s="99"/>
    </row>
  </sheetData>
  <mergeCells count="3">
    <mergeCell ref="B12:C13"/>
    <mergeCell ref="E12:G13"/>
    <mergeCell ref="M12:N1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6269A-3626-774C-9ADA-3562BD224E49}">
  <dimension ref="A1"/>
  <sheetViews>
    <sheetView workbookViewId="0">
      <selection activeCell="C9" sqref="C9"/>
    </sheetView>
  </sheetViews>
  <sheetFormatPr baseColWidth="10" defaultRowHeight="16" x14ac:dyDescent="0.2"/>
  <sheetData>
    <row r="1" spans="1:1" x14ac:dyDescent="0.2">
      <c r="A1" s="39" t="s">
        <v>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9979A-5B81-AF4E-9A6A-A307E02FDA20}">
  <dimension ref="A1"/>
  <sheetViews>
    <sheetView workbookViewId="0">
      <selection activeCell="C11" sqref="C11"/>
    </sheetView>
  </sheetViews>
  <sheetFormatPr baseColWidth="10" defaultRowHeight="16" x14ac:dyDescent="0.2"/>
  <sheetData>
    <row r="1" spans="1:1" x14ac:dyDescent="0.2">
      <c r="A1" s="39" t="s">
        <v>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G18" sqref="G18"/>
    </sheetView>
  </sheetViews>
  <sheetFormatPr baseColWidth="10" defaultRowHeight="16" x14ac:dyDescent="0.2"/>
  <sheetData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4E503-33E0-F145-925D-A54BFA821FB0}">
  <dimension ref="A4:A30"/>
  <sheetViews>
    <sheetView workbookViewId="0">
      <selection activeCell="I14" sqref="I14"/>
    </sheetView>
  </sheetViews>
  <sheetFormatPr baseColWidth="10" defaultColWidth="11" defaultRowHeight="16" x14ac:dyDescent="0.2"/>
  <sheetData>
    <row r="4" s="1" customFormat="1" ht="19" x14ac:dyDescent="0.25"/>
    <row r="5" s="1" customFormat="1" ht="19" x14ac:dyDescent="0.25"/>
    <row r="6" s="1" customFormat="1" ht="19" x14ac:dyDescent="0.25"/>
    <row r="7" s="1" customFormat="1" ht="19" x14ac:dyDescent="0.25"/>
    <row r="8" s="1" customFormat="1" ht="19" x14ac:dyDescent="0.25"/>
    <row r="9" s="1" customFormat="1" ht="19" x14ac:dyDescent="0.25"/>
    <row r="10" s="1" customFormat="1" ht="19" x14ac:dyDescent="0.25"/>
    <row r="11" s="1" customFormat="1" ht="19" x14ac:dyDescent="0.25"/>
    <row r="12" s="1" customFormat="1" ht="19" x14ac:dyDescent="0.25"/>
    <row r="13" s="1" customFormat="1" ht="19" x14ac:dyDescent="0.25"/>
    <row r="14" s="1" customFormat="1" ht="19" x14ac:dyDescent="0.25"/>
    <row r="15" s="1" customFormat="1" ht="19" x14ac:dyDescent="0.25"/>
    <row r="16" s="1" customFormat="1" ht="19" x14ac:dyDescent="0.25"/>
    <row r="17" s="1" customFormat="1" ht="19" x14ac:dyDescent="0.25"/>
    <row r="18" s="1" customFormat="1" ht="19" x14ac:dyDescent="0.25"/>
    <row r="19" s="1" customFormat="1" ht="19" x14ac:dyDescent="0.25"/>
    <row r="20" s="1" customFormat="1" ht="19" x14ac:dyDescent="0.25"/>
    <row r="21" s="1" customFormat="1" ht="19" x14ac:dyDescent="0.25"/>
    <row r="22" s="1" customFormat="1" ht="19" x14ac:dyDescent="0.25"/>
    <row r="23" s="1" customFormat="1" ht="19" x14ac:dyDescent="0.25"/>
    <row r="24" s="1" customFormat="1" ht="19" x14ac:dyDescent="0.25"/>
    <row r="25" s="1" customFormat="1" ht="19" x14ac:dyDescent="0.25"/>
    <row r="26" s="1" customFormat="1" ht="19" x14ac:dyDescent="0.25"/>
    <row r="27" s="1" customFormat="1" ht="19" x14ac:dyDescent="0.25"/>
    <row r="28" s="1" customFormat="1" ht="19" x14ac:dyDescent="0.25"/>
    <row r="29" s="1" customFormat="1" ht="19" x14ac:dyDescent="0.25"/>
    <row r="30" s="1" customFormat="1" ht="19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Resumé</vt:lpstr>
      <vt:lpstr>DSQ-SF</vt:lpstr>
      <vt:lpstr>Medicatie</vt:lpstr>
      <vt:lpstr>Illness</vt:lpstr>
      <vt:lpstr>Laboratorium</vt:lpstr>
      <vt:lpstr>NASA test</vt:lpstr>
      <vt:lpstr>Co-morbiditeit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 Extra</dc:creator>
  <cp:lastModifiedBy>Microsoft Office User</cp:lastModifiedBy>
  <dcterms:created xsi:type="dcterms:W3CDTF">2026-01-28T11:20:34Z</dcterms:created>
  <dcterms:modified xsi:type="dcterms:W3CDTF">2026-05-01T15:55:06Z</dcterms:modified>
</cp:coreProperties>
</file>